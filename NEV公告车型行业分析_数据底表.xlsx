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worksheets/sheet15.xml" ContentType="application/vnd.openxmlformats-officedocument.spreadsheetml.worksheet+xml"/>
  <Override PartName="/xl/drawings/drawing11.xml" ContentType="application/vnd.openxmlformats-officedocument.drawing+xml"/>
  <Override PartName="/xl/worksheets/sheet16.xml" ContentType="application/vnd.openxmlformats-officedocument.spreadsheetml.worksheet+xml"/>
  <Override PartName="/xl/drawings/drawing12.xml" ContentType="application/vnd.openxmlformats-officedocument.drawing+xml"/>
  <Override PartName="/xl/worksheets/sheet17.xml" ContentType="application/vnd.openxmlformats-officedocument.spreadsheetml.worksheet+xml"/>
  <Override PartName="/xl/drawings/drawing13.xml" ContentType="application/vnd.openxmlformats-officedocument.drawing+xml"/>
  <Override PartName="/xl/worksheets/sheet18.xml" ContentType="application/vnd.openxmlformats-officedocument.spreadsheetml.worksheet+xml"/>
  <Override PartName="/xl/drawings/drawing14.xml" ContentType="application/vnd.openxmlformats-officedocument.drawing+xml"/>
  <Override PartName="/xl/worksheets/sheet19.xml" ContentType="application/vnd.openxmlformats-officedocument.spreadsheetml.worksheet+xml"/>
  <Override PartName="/xl/drawings/drawing15.xml" ContentType="application/vnd.openxmlformats-officedocument.drawing+xml"/>
  <Override PartName="/xl/worksheets/sheet20.xml" ContentType="application/vnd.openxmlformats-officedocument.spreadsheetml.worksheet+xml"/>
  <Override PartName="/xl/drawings/drawing16.xml" ContentType="application/vnd.openxmlformats-officedocument.drawing+xml"/>
  <Override PartName="/xl/worksheets/sheet21.xml" ContentType="application/vnd.openxmlformats-officedocument.spreadsheetml.worksheet+xml"/>
  <Override PartName="/xl/drawings/drawing17.xml" ContentType="application/vnd.openxmlformats-officedocument.drawing+xml"/>
  <Override PartName="/xl/worksheets/sheet22.xml" ContentType="application/vnd.openxmlformats-officedocument.spreadsheetml.worksheet+xml"/>
  <Override PartName="/xl/drawings/drawing18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9.xml" ContentType="application/vnd.openxmlformats-officedocument.drawing+xml"/>
  <Override PartName="/xl/worksheets/sheet25.xml" ContentType="application/vnd.openxmlformats-officedocument.spreadsheetml.worksheet+xml"/>
  <Override PartName="/xl/drawings/drawing20.xml" ContentType="application/vnd.openxmlformats-officedocument.drawing+xml"/>
  <Override PartName="/xl/worksheets/sheet26.xml" ContentType="application/vnd.openxmlformats-officedocument.spreadsheetml.worksheet+xml"/>
  <Override PartName="/xl/drawings/drawing21.xml" ContentType="application/vnd.openxmlformats-officedocument.drawing+xml"/>
  <Override PartName="/xl/worksheets/sheet27.xml" ContentType="application/vnd.openxmlformats-officedocument.spreadsheetml.worksheet+xml"/>
  <Override PartName="/xl/drawings/drawing22.xml" ContentType="application/vnd.openxmlformats-officedocument.drawing+xml"/>
  <Override PartName="/xl/worksheets/sheet28.xml" ContentType="application/vnd.openxmlformats-officedocument.spreadsheetml.worksheet+xml"/>
  <Override PartName="/xl/drawings/drawing23.xml" ContentType="application/vnd.openxmlformats-officedocument.drawing+xml"/>
  <Override PartName="/xl/worksheets/sheet29.xml" ContentType="application/vnd.openxmlformats-officedocument.spreadsheetml.worksheet+xml"/>
  <Override PartName="/xl/drawings/drawing24.xml" ContentType="application/vnd.openxmlformats-officedocument.drawing+xml"/>
  <Override PartName="/xl/worksheets/sheet30.xml" ContentType="application/vnd.openxmlformats-officedocument.spreadsheetml.worksheet+xml"/>
  <Override PartName="/xl/drawings/drawing25.xml" ContentType="application/vnd.openxmlformats-officedocument.drawing+xml"/>
  <Override PartName="/xl/worksheets/sheet31.xml" ContentType="application/vnd.openxmlformats-officedocument.spreadsheetml.worksheet+xml"/>
  <Override PartName="/xl/drawings/drawing26.xml" ContentType="application/vnd.openxmlformats-officedocument.drawing+xml"/>
  <Override PartName="/xl/worksheets/sheet32.xml" ContentType="application/vnd.openxmlformats-officedocument.spreadsheetml.worksheet+xml"/>
  <Override PartName="/xl/drawings/drawing27.xml" ContentType="application/vnd.openxmlformats-officedocument.drawing+xml"/>
  <Override PartName="/xl/worksheets/sheet33.xml" ContentType="application/vnd.openxmlformats-officedocument.spreadsheetml.worksheet+xml"/>
  <Override PartName="/xl/drawings/drawing28.xml" ContentType="application/vnd.openxmlformats-officedocument.drawing+xml"/>
  <Override PartName="/xl/worksheets/sheet34.xml" ContentType="application/vnd.openxmlformats-officedocument.spreadsheetml.worksheet+xml"/>
  <Override PartName="/xl/drawings/drawing29.xml" ContentType="application/vnd.openxmlformats-officedocument.drawing+xml"/>
  <Override PartName="/xl/worksheets/sheet35.xml" ContentType="application/vnd.openxmlformats-officedocument.spreadsheetml.worksheet+xml"/>
  <Override PartName="/xl/drawings/drawing30.xml" ContentType="application/vnd.openxmlformats-officedocument.drawing+xml"/>
  <Override PartName="/xl/worksheets/sheet36.xml" ContentType="application/vnd.openxmlformats-officedocument.spreadsheetml.worksheet+xml"/>
  <Override PartName="/xl/drawings/drawing31.xml" ContentType="application/vnd.openxmlformats-officedocument.drawing+xml"/>
  <Override PartName="/xl/worksheets/sheet37.xml" ContentType="application/vnd.openxmlformats-officedocument.spreadsheetml.worksheet+xml"/>
  <Override PartName="/xl/drawings/drawing32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33.xml" ContentType="application/vnd.openxmlformats-officedocument.drawing+xml"/>
  <Override PartName="/xl/worksheets/sheet41.xml" ContentType="application/vnd.openxmlformats-officedocument.spreadsheetml.worksheet+xml"/>
  <Override PartName="/xl/drawings/drawing34.xml" ContentType="application/vnd.openxmlformats-officedocument.drawing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drawings/drawing35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目录" sheetId="2" state="visible" r:id="rId2"/>
    <sheet xmlns:r="http://schemas.openxmlformats.org/officeDocument/2006/relationships" name="执行摘要" sheetId="3" state="visible" r:id="rId3"/>
    <sheet xmlns:r="http://schemas.openxmlformats.org/officeDocument/2006/relationships" name="数据总览" sheetId="4" state="visible" r:id="rId4"/>
    <sheet xmlns:r="http://schemas.openxmlformats.org/officeDocument/2006/relationships" name="年度分布" sheetId="5" state="visible" r:id="rId5"/>
    <sheet xmlns:r="http://schemas.openxmlformats.org/officeDocument/2006/relationships" name="BEV续航分析" sheetId="6" state="visible" r:id="rId6"/>
    <sheet xmlns:r="http://schemas.openxmlformats.org/officeDocument/2006/relationships" name="PHEV续航分析" sheetId="7" state="visible" r:id="rId7"/>
    <sheet xmlns:r="http://schemas.openxmlformats.org/officeDocument/2006/relationships" name="续航对比分析" sheetId="8" state="visible" r:id="rId8"/>
    <sheet xmlns:r="http://schemas.openxmlformats.org/officeDocument/2006/relationships" name="电池容量分析" sheetId="9" state="visible" r:id="rId9"/>
    <sheet xmlns:r="http://schemas.openxmlformats.org/officeDocument/2006/relationships" name="BEV容量分布" sheetId="10" state="visible" r:id="rId10"/>
    <sheet xmlns:r="http://schemas.openxmlformats.org/officeDocument/2006/relationships" name="PHEV容量分布" sheetId="11" state="visible" r:id="rId11"/>
    <sheet xmlns:r="http://schemas.openxmlformats.org/officeDocument/2006/relationships" name="电池类型趋势-BEV" sheetId="12" state="visible" r:id="rId12"/>
    <sheet xmlns:r="http://schemas.openxmlformats.org/officeDocument/2006/relationships" name="电池类型趋势-PHEV" sheetId="13" state="visible" r:id="rId13"/>
    <sheet xmlns:r="http://schemas.openxmlformats.org/officeDocument/2006/relationships" name="电池能量密度" sheetId="14" state="visible" r:id="rId14"/>
    <sheet xmlns:r="http://schemas.openxmlformats.org/officeDocument/2006/relationships" name="续航分布-BEV" sheetId="15" state="visible" r:id="rId15"/>
    <sheet xmlns:r="http://schemas.openxmlformats.org/officeDocument/2006/relationships" name="续航分布-PHEV" sheetId="16" state="visible" r:id="rId16"/>
    <sheet xmlns:r="http://schemas.openxmlformats.org/officeDocument/2006/relationships" name="电机功率分析" sheetId="17" state="visible" r:id="rId17"/>
    <sheet xmlns:r="http://schemas.openxmlformats.org/officeDocument/2006/relationships" name="整备质量分析" sheetId="18" state="visible" r:id="rId18"/>
    <sheet xmlns:r="http://schemas.openxmlformats.org/officeDocument/2006/relationships" name="功率质量比" sheetId="19" state="visible" r:id="rId19"/>
    <sheet xmlns:r="http://schemas.openxmlformats.org/officeDocument/2006/relationships" name="整车能量密度" sheetId="20" state="visible" r:id="rId20"/>
    <sheet xmlns:r="http://schemas.openxmlformats.org/officeDocument/2006/relationships" name="能效分析" sheetId="21" state="visible" r:id="rId21"/>
    <sheet xmlns:r="http://schemas.openxmlformats.org/officeDocument/2006/relationships" name="PHEV油耗分析" sheetId="22" state="visible" r:id="rId22"/>
    <sheet xmlns:r="http://schemas.openxmlformats.org/officeDocument/2006/relationships" name="PHEV油耗-排量年份" sheetId="23" state="visible" r:id="rId23"/>
    <sheet xmlns:r="http://schemas.openxmlformats.org/officeDocument/2006/relationships" name="技术路线矩阵" sheetId="24" state="visible" r:id="rId24"/>
    <sheet xmlns:r="http://schemas.openxmlformats.org/officeDocument/2006/relationships" name="供应商集中度" sheetId="25" state="visible" r:id="rId25"/>
    <sheet xmlns:r="http://schemas.openxmlformats.org/officeDocument/2006/relationships" name="电池供应商CR" sheetId="26" state="visible" r:id="rId26"/>
    <sheet xmlns:r="http://schemas.openxmlformats.org/officeDocument/2006/relationships" name="电机供应商CR" sheetId="27" state="visible" r:id="rId27"/>
    <sheet xmlns:r="http://schemas.openxmlformats.org/officeDocument/2006/relationships" name="电池供应商排名" sheetId="28" state="visible" r:id="rId28"/>
    <sheet xmlns:r="http://schemas.openxmlformats.org/officeDocument/2006/relationships" name="电机供应商排名" sheetId="29" state="visible" r:id="rId29"/>
    <sheet xmlns:r="http://schemas.openxmlformats.org/officeDocument/2006/relationships" name="供应商组合" sheetId="30" state="visible" r:id="rId30"/>
    <sheet xmlns:r="http://schemas.openxmlformats.org/officeDocument/2006/relationships" name="品牌-电池供应商" sheetId="31" state="visible" r:id="rId31"/>
    <sheet xmlns:r="http://schemas.openxmlformats.org/officeDocument/2006/relationships" name="品牌-电机供应商" sheetId="32" state="visible" r:id="rId32"/>
    <sheet xmlns:r="http://schemas.openxmlformats.org/officeDocument/2006/relationships" name="细分市场-BEV" sheetId="33" state="visible" r:id="rId33"/>
    <sheet xmlns:r="http://schemas.openxmlformats.org/officeDocument/2006/relationships" name="细分市场-PHEV" sheetId="34" state="visible" r:id="rId34"/>
    <sheet xmlns:r="http://schemas.openxmlformats.org/officeDocument/2006/relationships" name="细分市场续航对比" sheetId="35" state="visible" r:id="rId35"/>
    <sheet xmlns:r="http://schemas.openxmlformats.org/officeDocument/2006/relationships" name="细分市场容量对比" sheetId="36" state="visible" r:id="rId36"/>
    <sheet xmlns:r="http://schemas.openxmlformats.org/officeDocument/2006/relationships" name="质量按细分市场" sheetId="37" state="visible" r:id="rId37"/>
    <sheet xmlns:r="http://schemas.openxmlformats.org/officeDocument/2006/relationships" name="相关性-BEV" sheetId="38" state="visible" r:id="rId38"/>
    <sheet xmlns:r="http://schemas.openxmlformats.org/officeDocument/2006/relationships" name="相关性-PHEV" sheetId="39" state="visible" r:id="rId39"/>
    <sheet xmlns:r="http://schemas.openxmlformats.org/officeDocument/2006/relationships" name="同比增长-BEV" sheetId="40" state="visible" r:id="rId40"/>
    <sheet xmlns:r="http://schemas.openxmlformats.org/officeDocument/2006/relationships" name="同比增长-PHEV" sheetId="41" state="visible" r:id="rId41"/>
    <sheet xmlns:r="http://schemas.openxmlformats.org/officeDocument/2006/relationships" name="关键指标汇总-BEV" sheetId="42" state="visible" r:id="rId42"/>
    <sheet xmlns:r="http://schemas.openxmlformats.org/officeDocument/2006/relationships" name="关键指标汇总-PHEV" sheetId="43" state="visible" r:id="rId43"/>
    <sheet xmlns:r="http://schemas.openxmlformats.org/officeDocument/2006/relationships" name="年度综合指标" sheetId="44" state="visible" r:id="rId44"/>
    <sheet xmlns:r="http://schemas.openxmlformats.org/officeDocument/2006/relationships" name="可视化图表" sheetId="45" state="visible" r:id="rId45"/>
    <sheet xmlns:r="http://schemas.openxmlformats.org/officeDocument/2006/relationships" name="年度分布元数据" sheetId="46" state="visible" r:id="rId46"/>
    <sheet xmlns:r="http://schemas.openxmlformats.org/officeDocument/2006/relationships" name="电池类型占比元数据" sheetId="47" state="visible" r:id="rId47"/>
    <sheet xmlns:r="http://schemas.openxmlformats.org/officeDocument/2006/relationships" name="供应商集中度元数据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%"/>
    <numFmt numFmtId="167" formatCode="0.0&quot;%&quot;"/>
  </numFmts>
  <fonts count="14">
    <font>
      <name val="Calibri"/>
      <family val="2"/>
      <color theme="1"/>
      <sz val="11"/>
      <scheme val="minor"/>
    </font>
    <font>
      <name val="Calibri"/>
      <b val="1"/>
      <color rgb="002D2D2D"/>
      <sz val="28"/>
    </font>
    <font>
      <name val="Calibri"/>
      <color rgb="004A7B9D"/>
      <sz val="16"/>
    </font>
    <font>
      <name val="Calibri"/>
      <b val="1"/>
      <color rgb="004A7B9D"/>
      <sz val="12"/>
    </font>
    <font>
      <name val="Calibri"/>
      <color rgb="00333333"/>
      <sz val="12"/>
    </font>
    <font>
      <name val="Calibri"/>
      <i val="1"/>
      <color rgb="00888888"/>
      <sz val="11"/>
    </font>
    <font>
      <name val="Calibri"/>
      <b val="1"/>
      <color rgb="002D2D2D"/>
      <sz val="18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2D2D2D"/>
      <sz val="11"/>
    </font>
    <font>
      <name val="Calibri"/>
      <color rgb="00555555"/>
      <sz val="13"/>
    </font>
    <font>
      <name val="微软雅黑"/>
      <b val="1"/>
      <color rgb="002B3A4A"/>
      <sz val="12"/>
    </font>
    <font>
      <name val="微软雅黑"/>
      <b val="1"/>
      <color rgb="00FFFFFF"/>
      <sz val="10"/>
    </font>
    <font>
      <name val="微软雅黑"/>
      <sz val="10"/>
    </font>
  </fonts>
  <fills count="8">
    <fill>
      <patternFill/>
    </fill>
    <fill>
      <patternFill patternType="gray125"/>
    </fill>
    <fill>
      <patternFill patternType="solid">
        <fgColor rgb="00D97757"/>
        <bgColor rgb="00D97757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4EE"/>
        <bgColor rgb="00F5F4EE"/>
      </patternFill>
    </fill>
    <fill>
      <patternFill patternType="solid">
        <fgColor rgb="002B3A4A"/>
        <bgColor rgb="002B3A4A"/>
      </patternFill>
    </fill>
    <fill>
      <patternFill patternType="solid">
        <fgColor rgb="00F5F5F0"/>
        <bgColor rgb="00F5F5F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" fontId="8" fillId="4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" fontId="8" fillId="5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6" fontId="8" fillId="4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6" applyAlignment="1" pivotButton="0" quotePrefix="0" xfId="0">
      <alignment horizontal="center" vertical="center" wrapText="1"/>
    </xf>
    <xf numFmtId="0" fontId="13" fillId="7" borderId="6" applyAlignment="1" pivotButton="0" quotePrefix="0" xfId="0">
      <alignment horizontal="center" vertical="center"/>
    </xf>
    <xf numFmtId="167" fontId="13" fillId="7" borderId="6" applyAlignment="1" pivotButton="0" quotePrefix="0" xfId="0">
      <alignment horizontal="center" vertical="center"/>
    </xf>
    <xf numFmtId="166" fontId="13" fillId="7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167" fontId="13" fillId="4" borderId="6" applyAlignment="1" pivotButton="0" quotePrefix="0" xfId="0">
      <alignment horizontal="center" vertical="center"/>
    </xf>
    <xf numFmtId="166" fontId="13" fillId="4" borderId="6" applyAlignment="1" pivotButton="0" quotePrefix="0" xfId="0">
      <alignment horizontal="center" vertical="center"/>
    </xf>
    <xf numFmtId="164" fontId="13" fillId="7" borderId="6" applyAlignment="1" pivotButton="0" quotePrefix="0" xfId="0">
      <alignment horizontal="center" vertical="center"/>
    </xf>
    <xf numFmtId="164" fontId="13" fillId="4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'年度分布'!B3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'年度分布'!$B$4:$B$8</f>
            </numRef>
          </val>
        </ser>
        <ser>
          <idx val="1"/>
          <order val="1"/>
          <tx>
            <strRef>
              <f>'年度分布'!C3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'年度分布'!$A$4:$A$8</f>
            </numRef>
          </cat>
          <val>
            <numRef>
              <f>'年度分布'!$C$4:$C$8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'年度分布'!F3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'年度分布'!$A$4:$A$8</f>
            </numRef>
          </cat>
          <val>
            <numRef>
              <f>'年度分布'!$F$4:$F$8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'BEV续航分析'!B3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'BEV续航分析'!$B$4:$B$8</f>
            </numRef>
          </val>
        </ser>
        <ser>
          <idx val="1"/>
          <order val="1"/>
          <tx>
            <strRef>
              <f>'BEV续航分析'!C3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'BEV续航分析'!$C$4:$C$8</f>
            </numRef>
          </val>
        </ser>
        <ser>
          <idx val="2"/>
          <order val="2"/>
          <tx>
            <strRef>
              <f>'BEV续航分析'!D3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'BEV续航分析'!$D$4:$D$8</f>
            </numRef>
          </val>
        </ser>
        <ser>
          <idx val="3"/>
          <order val="3"/>
          <tx>
            <strRef>
              <f>'BEV续航分析'!E3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'BEV续航分析'!$E$4:$E$8</f>
            </numRef>
          </val>
        </ser>
        <ser>
          <idx val="4"/>
          <order val="4"/>
          <tx>
            <strRef>
              <f>'BEV续航分析'!F3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'BEV续航分析'!$A$4:$A$8</f>
            </numRef>
          </cat>
          <val>
            <numRef>
              <f>'BEV续航分析'!$F$4:$F$8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'PHEV续航分析'!B3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'PHEV续航分析'!$B$4:$B$8</f>
            </numRef>
          </val>
        </ser>
        <ser>
          <idx val="1"/>
          <order val="1"/>
          <tx>
            <strRef>
              <f>'PHEV续航分析'!C3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'PHEV续航分析'!$C$4:$C$8</f>
            </numRef>
          </val>
        </ser>
        <ser>
          <idx val="2"/>
          <order val="2"/>
          <tx>
            <strRef>
              <f>'PHEV续航分析'!D3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'PHEV续航分析'!$D$4:$D$8</f>
            </numRef>
          </val>
        </ser>
        <ser>
          <idx val="3"/>
          <order val="3"/>
          <tx>
            <strRef>
              <f>'PHEV续航分析'!E3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'PHEV续航分析'!$E$4:$E$8</f>
            </numRef>
          </val>
        </ser>
        <ser>
          <idx val="4"/>
          <order val="4"/>
          <tx>
            <strRef>
              <f>'PHEV续航分析'!F3</f>
            </strRef>
          </tx>
          <spPr>
            <a:ln xmlns:a="http://schemas.openxmlformats.org/drawingml/2006/main" w="28000">
              <a:solidFill>
                <a:srgbClr val="E76F5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'PHEV续航分析'!$A$4:$A$8</f>
            </numRef>
          </cat>
          <val>
            <numRef>
              <f>'PHEV续航分析'!$F$4:$F$8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 vs PHEV 续航对比</a:t>
            </a:r>
          </a:p>
        </rich>
      </tx>
    </title>
    <plotArea>
      <lineChart>
        <grouping val="standard"/>
        <ser>
          <idx val="0"/>
          <order val="0"/>
          <tx>
            <strRef>
              <f>'续航对比分析'!B3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'续航对比分析'!$B$4:$B$8</f>
            </numRef>
          </val>
        </ser>
        <ser>
          <idx val="1"/>
          <order val="1"/>
          <tx>
            <strRef>
              <f>'续航对比分析'!C3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'续航对比分析'!$A$4:$A$8</f>
            </numRef>
          </cat>
          <val>
            <numRef>
              <f>'续航对比分析'!$C$4:$C$8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电池容量年度对比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'电池容量分析'!B3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'电池容量分析'!$B$4:$B$8</f>
            </numRef>
          </val>
        </ser>
        <ser>
          <idx val="1"/>
          <order val="1"/>
          <tx>
            <strRef>
              <f>'电池容量分析'!C3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'电池容量分析'!$A$4:$A$8</f>
            </numRef>
          </cat>
          <val>
            <numRef>
              <f>'电池容量分析'!$C$4:$C$8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'BEV容量分布'!$A$4:$A$14</f>
            </numRef>
          </cat>
          <val>
            <numRef>
              <f>'BEV容量分布'!$B$4:$B$14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PHEV电池容量分布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'PHEV容量分布'!B3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'PHEV容量分布'!$A$4:$A$10</f>
            </numRef>
          </cat>
          <val>
            <numRef>
              <f>'PHEV容量分布'!$B$4:$B$10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'电池类型趋势-BEV'!$B$4:$B$8</f>
            </numRef>
          </val>
        </ser>
        <ser>
          <idx val="1"/>
          <order val="1"/>
          <tx>
            <strRef>
              <f>'电池类型趋势-BEV'!C3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'电池类型趋势-BEV'!$C$4:$C$8</f>
            </numRef>
          </val>
        </ser>
        <ser>
          <idx val="2"/>
          <order val="2"/>
          <tx>
            <strRef>
              <f>'电池类型趋势-BEV'!D3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'电池类型趋势-BEV'!$D$4:$D$8</f>
            </numRef>
          </val>
        </ser>
        <ser>
          <idx val="3"/>
          <order val="3"/>
          <tx>
            <strRef>
              <f>'电池类型趋势-BEV'!E3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'电池类型趋势-BEV'!$E$4:$E$8</f>
            </numRef>
          </val>
        </ser>
        <ser>
          <idx val="4"/>
          <order val="4"/>
          <tx>
            <strRef>
              <f>'电池类型趋势-BEV'!F3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'电池类型趋势-BEV'!$F$4:$F$8</f>
            </numRef>
          </val>
        </ser>
        <ser>
          <idx val="5"/>
          <order val="5"/>
          <tx>
            <strRef>
              <f>'电池类型趋势-BEV'!G3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'电池类型趋势-BEV'!$A$4:$A$8</f>
            </numRef>
          </cat>
          <val>
            <numRef>
              <f>'电池类型趋势-BEV'!$G$4:$G$8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PHEV电池类型趋势 - 数量趋势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'电池类型趋势-PHEV'!B3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'电池类型趋势-PHEV'!$B$4:$B$8</f>
            </numRef>
          </val>
        </ser>
        <ser>
          <idx val="1"/>
          <order val="1"/>
          <tx>
            <strRef>
              <f>'电池类型趋势-PHEV'!C3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'电池类型趋势-PHEV'!$C$4:$C$8</f>
            </numRef>
          </val>
        </ser>
        <ser>
          <idx val="2"/>
          <order val="2"/>
          <tx>
            <strRef>
              <f>'电池类型趋势-PHEV'!D3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'电池类型趋势-PHEV'!$D$4:$D$8</f>
            </numRef>
          </val>
        </ser>
        <ser>
          <idx val="3"/>
          <order val="3"/>
          <tx>
            <strRef>
              <f>'电池类型趋势-PHEV'!E3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'电池类型趋势-PHEV'!$E$4:$E$8</f>
            </numRef>
          </val>
        </ser>
        <ser>
          <idx val="4"/>
          <order val="4"/>
          <tx>
            <strRef>
              <f>'电池类型趋势-PHEV'!F3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'电池类型趋势-PHEV'!$A$4:$A$8</f>
            </numRef>
          </cat>
          <val>
            <numRef>
              <f>'电池类型趋势-PHEV'!$F$4:$F$8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'电池能量密度'!$B$4:$B$8</f>
            </numRef>
          </val>
        </ser>
        <ser>
          <idx val="1"/>
          <order val="1"/>
          <tx>
            <strRef>
              <f>'电池能量密度'!C3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'电池能量密度'!$A$4:$A$8</f>
            </numRef>
          </cat>
          <val>
            <numRef>
              <f>'电池能量密度'!$C$4:$C$8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'续航分布-BEV'!$A$4:$A$19</f>
            </numRef>
          </cat>
          <val>
            <numRef>
              <f>'续航分布-BEV'!$B$4:$B$19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'续航分布-PHEV'!B3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'续航分布-PHEV'!$A$4:$A$17</f>
            </numRef>
          </cat>
          <val>
            <numRef>
              <f>'续航分布-PHEV'!$B$4:$B$17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'电机功率分析'!B3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'电机功率分析'!$B$4:$B$8</f>
            </numRef>
          </val>
        </ser>
        <ser>
          <idx val="1"/>
          <order val="1"/>
          <tx>
            <strRef>
              <f>'电机功率分析'!C3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'电机功率分析'!$A$4:$A$8</f>
            </numRef>
          </cat>
          <val>
            <numRef>
              <f>'电机功率分析'!$C$4:$C$8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PHEV整备质量趋势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'整备质量分析'!D3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'整备质量分析'!$A$4:$A$8</f>
            </numRef>
          </cat>
          <val>
            <numRef>
              <f>'整备质量分析'!$D$4:$D$8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功率质量比趋势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'功率质量比'!B3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'功率质量比'!$B$4:$B$8</f>
            </numRef>
          </val>
        </ser>
        <ser>
          <idx val="1"/>
          <order val="1"/>
          <tx>
            <strRef>
              <f>'功率质量比'!C3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'功率质量比'!$A$4:$A$8</f>
            </numRef>
          </cat>
          <val>
            <numRef>
              <f>'功率质量比'!$C$4:$C$8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整车能量密度趋势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'整车能量密度'!B3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'整车能量密度'!$B$4:$B$8</f>
            </numRef>
          </val>
        </ser>
        <ser>
          <idx val="1"/>
          <order val="1"/>
          <tx>
            <strRef>
              <f>'整车能量密度'!C3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'整车能量密度'!$A$4:$A$8</f>
            </numRef>
          </cat>
          <val>
            <numRef>
              <f>'整车能量密度'!$C$4:$C$8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'能效分析'!B3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'能效分析'!$A$4:$A$8</f>
            </numRef>
          </cat>
          <val>
            <numRef>
              <f>'能效分析'!$B$4:$B$8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PHEV综合油耗趋势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 B状态油耗趋势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'PHEV油耗分析'!E3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'PHEV油耗分析'!$A$4:$A$8</f>
            </numRef>
          </cat>
          <val>
            <numRef>
              <f>'PHEV油耗分析'!$E$4:$E$8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BEV四象限分布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'技术路线矩阵'!B3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'技术路线矩阵'!$A$4:$A$7</f>
            </numRef>
          </cat>
          <val>
            <numRef>
              <f>'技术路线矩阵'!$B$4:$B$7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象限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'供应商集中度'!$B$4:$B$8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'供应商集中度'!D3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'供应商集中度'!$A$4:$A$8</f>
            </numRef>
          </cat>
          <val>
            <numRef>
              <f>'供应商集中度'!$D$4:$D$8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'电池供应商CR'!B3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'电池供应商CR'!$B$4:$B$8</f>
            </numRef>
          </val>
        </ser>
        <ser>
          <idx val="1"/>
          <order val="1"/>
          <tx>
            <strRef>
              <f>'电池供应商CR'!C3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'电池供应商CR'!$C$4:$C$8</f>
            </numRef>
          </val>
        </ser>
        <ser>
          <idx val="2"/>
          <order val="2"/>
          <tx>
            <strRef>
              <f>'电池供应商CR'!D3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'电池供应商CR'!$A$4:$A$8</f>
            </numRef>
          </cat>
          <val>
            <numRef>
              <f>'电池供应商CR'!$D$4:$D$8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电机供应商CR3/CR5/CR10趋势</a:t>
            </a:r>
          </a:p>
        </rich>
      </tx>
    </title>
    <plotArea>
      <lineChart>
        <grouping val="standard"/>
        <ser>
          <idx val="0"/>
          <order val="0"/>
          <tx>
            <strRef>
              <f>'电机供应商CR'!B3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'电机供应商CR'!$B$4:$B$8</f>
            </numRef>
          </val>
        </ser>
        <ser>
          <idx val="1"/>
          <order val="1"/>
          <tx>
            <strRef>
              <f>'电机供应商CR'!C3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'电机供应商CR'!$C$4:$C$8</f>
            </numRef>
          </val>
        </ser>
        <ser>
          <idx val="2"/>
          <order val="2"/>
          <tx>
            <strRef>
              <f>'电机供应商CR'!D3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'电机供应商CR'!$A$4:$A$8</f>
            </numRef>
          </cat>
          <val>
            <numRef>
              <f>'电机供应商CR'!$D$4:$D$8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电池供应商Top20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'电池供应商排名'!C3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'电池供应商排名'!$B$4:$B$23</f>
            </numRef>
          </cat>
          <val>
            <numRef>
              <f>'电池供应商排名'!$C$4:$C$23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电机供应商Top20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'电机供应商排名'!C3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'电机供应商排名'!$B$4:$B$23</f>
            </numRef>
          </cat>
          <val>
            <numRef>
              <f>'电机供应商排名'!$C$4:$C$23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供应商组合Top20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'供应商组合'!D3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'供应商组合'!$B$4:$B$23</f>
            </numRef>
          </cat>
          <val>
            <numRef>
              <f>'供应商组合'!$D$4:$D$23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电池供应商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品牌-电池供应商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'品牌-电池供应商'!B3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'品牌-电池供应商'!$B$4:$B$13</f>
            </numRef>
          </val>
        </ser>
        <ser>
          <idx val="1"/>
          <order val="1"/>
          <tx>
            <strRef>
              <f>'品牌-电池供应商'!C3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'品牌-电池供应商'!$C$4:$C$13</f>
            </numRef>
          </val>
        </ser>
        <ser>
          <idx val="2"/>
          <order val="2"/>
          <tx>
            <strRef>
              <f>'品牌-电池供应商'!D3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'品牌-电池供应商'!$D$4:$D$13</f>
            </numRef>
          </val>
        </ser>
        <ser>
          <idx val="3"/>
          <order val="3"/>
          <tx>
            <strRef>
              <f>'品牌-电池供应商'!E3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'品牌-电池供应商'!$E$4:$E$13</f>
            </numRef>
          </val>
        </ser>
        <ser>
          <idx val="4"/>
          <order val="4"/>
          <tx>
            <strRef>
              <f>'品牌-电池供应商'!F3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'品牌-电池供应商'!$A$4:$A$13</f>
            </numRef>
          </cat>
          <val>
            <numRef>
              <f>'品牌-电池供应商'!$F$4:$F$13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品牌-电机供应商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'品牌-电机供应商'!B3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'品牌-电机供应商'!$B$4:$B$13</f>
            </numRef>
          </val>
        </ser>
        <ser>
          <idx val="1"/>
          <order val="1"/>
          <tx>
            <strRef>
              <f>'品牌-电机供应商'!C3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'品牌-电机供应商'!$C$4:$C$13</f>
            </numRef>
          </val>
        </ser>
        <ser>
          <idx val="2"/>
          <order val="2"/>
          <tx>
            <strRef>
              <f>'品牌-电机供应商'!D3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'品牌-电机供应商'!$D$4:$D$13</f>
            </numRef>
          </val>
        </ser>
        <ser>
          <idx val="3"/>
          <order val="3"/>
          <tx>
            <strRef>
              <f>'品牌-电机供应商'!E3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'品牌-电机供应商'!$E$4:$E$13</f>
            </numRef>
          </val>
        </ser>
        <ser>
          <idx val="4"/>
          <order val="4"/>
          <tx>
            <strRef>
              <f>'品牌-电机供应商'!F3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'品牌-电机供应商'!$A$4:$A$13</f>
            </numRef>
          </cat>
          <val>
            <numRef>
              <f>'品牌-电机供应商'!$F$4:$F$13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品牌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'细分市场-BEV'!$A$4:$A$23</f>
            </numRef>
          </cat>
          <val>
            <numRef>
              <f>'细分市场-BEV'!$B$4:$B$23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PHEV细分市场汇总 - 样本数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'细分市场-PHEV'!$A$4:$A$14</f>
            </numRef>
          </cat>
          <val>
            <numRef>
              <f>'细分市场-PHEV'!$B$4:$B$14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样本数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BEV细分市场续航对比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'细分市场续航对比'!B3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'细分市场续航对比'!$B$4:$B$23</f>
            </numRef>
          </val>
        </ser>
        <ser>
          <idx val="1"/>
          <order val="1"/>
          <tx>
            <strRef>
              <f>'细分市场续航对比'!C3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'细分市场续航对比'!$A$4:$A$23</f>
            </numRef>
          </cat>
          <val>
            <numRef>
              <f>'细分市场续航对比'!$C$4:$C$23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BEV细分市场容量对比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'细分市场容量对比'!B3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'细分市场容量对比'!$B$4:$B$23</f>
            </numRef>
          </val>
        </ser>
        <ser>
          <idx val="1"/>
          <order val="1"/>
          <tx>
            <strRef>
              <f>'细分市场容量对比'!C3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'细分市场容量对比'!$A$4:$A$23</f>
            </numRef>
          </cat>
          <val>
            <numRef>
              <f>'细分市场容量对比'!$C$4:$C$23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细分市场整备质量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'质量按细分市场'!B3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'质量按细分市场'!$A$4:$A$18</f>
            </numRef>
          </cat>
          <val>
            <numRef>
              <f>'质量按细分市场'!$B$4:$B$18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'同比增长-BEV'!B3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'同比增长-BEV'!$B$4:$B$10</f>
            </numRef>
          </val>
        </ser>
        <ser>
          <idx val="1"/>
          <order val="1"/>
          <tx>
            <strRef>
              <f>'同比增长-BEV'!C3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'同比增长-BEV'!$C$4:$C$10</f>
            </numRef>
          </val>
        </ser>
        <ser>
          <idx val="2"/>
          <order val="2"/>
          <tx>
            <strRef>
              <f>'同比增长-BEV'!D3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'同比增长-BEV'!$D$4:$D$10</f>
            </numRef>
          </val>
        </ser>
        <ser>
          <idx val="3"/>
          <order val="3"/>
          <tx>
            <strRef>
              <f>'同比增长-BEV'!E3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'同比增长-BEV'!$A$4:$A$10</f>
            </numRef>
          </cat>
          <val>
            <numRef>
              <f>'同比增长-BEV'!$E$4:$E$10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PHEV同比增长率 - 同比增长率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'同比增长-PHEV'!B3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'同比增长-PHEV'!$B$4:$B$9</f>
            </numRef>
          </val>
        </ser>
        <ser>
          <idx val="1"/>
          <order val="1"/>
          <tx>
            <strRef>
              <f>'同比增长-PHEV'!C3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'同比增长-PHEV'!$C$4:$C$9</f>
            </numRef>
          </val>
        </ser>
        <ser>
          <idx val="2"/>
          <order val="2"/>
          <tx>
            <strRef>
              <f>'同比增长-PHEV'!D3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'同比增长-PHEV'!$D$4:$D$9</f>
            </numRef>
          </val>
        </ser>
        <ser>
          <idx val="3"/>
          <order val="3"/>
          <tx>
            <strRef>
              <f>'同比增长-PHEV'!E3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'同比增长-PHEV'!$A$4:$A$9</f>
            </numRef>
          </cat>
          <val>
            <numRef>
              <f>'同比增长-PHEV'!$E$4:$E$9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指标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增长率(%)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BEV vs PHEV 年度数量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'可视化图表'!$B$4:$B$8</f>
            </numRef>
          </val>
        </ser>
        <ser>
          <idx val="1"/>
          <order val="1"/>
          <tx>
            <strRef>
              <f>'可视化图表'!C3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'可视化图表'!$A$4:$A$8</f>
            </numRef>
          </cat>
          <val>
            <numRef>
              <f>'可视化图表'!$C$4:$C$8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PHEV占比趋势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'可视化图表'!$A$34:$A$38</f>
            </numRef>
          </cat>
          <val>
            <numRef>
              <f>'可视化图表'!$B$34:$B$38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BEV平均续航里程趋势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'可视化图表'!$B$64:$B$68</f>
            </numRef>
          </val>
        </ser>
        <ser>
          <idx val="1"/>
          <order val="1"/>
          <tx>
            <strRef>
              <f>'可视化图表'!C63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'可视化图表'!$A$64:$A$68</f>
            </numRef>
          </cat>
          <val>
            <numRef>
              <f>'可视化图表'!$C$64:$C$68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PHEV平均续航里程趋势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'可视化图表'!$B$94:$B$98</f>
            </numRef>
          </val>
        </ser>
        <ser>
          <idx val="1"/>
          <order val="1"/>
          <tx>
            <strRef>
              <f>'可视化图表'!C93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'可视化图表'!$A$94:$A$98</f>
            </numRef>
          </cat>
          <val>
            <numRef>
              <f>'可视化图表'!$C$94:$C$98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续航里程(km)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BEV电池容量趋势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'可视化图表'!$A$124:$A$128</f>
            </numRef>
          </cat>
          <val>
            <numRef>
              <f>'可视化图表'!$B$124:$B$128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PHEV电池容量趋势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'可视化图表'!B153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'可视化图表'!$A$154:$A$158</f>
            </numRef>
          </cat>
          <val>
            <numRef>
              <f>'可视化图表'!$B$154:$B$158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BEV电池类型数量趋势(堆叠)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'可视化图表'!B183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'可视化图表'!$B$184:$B$188</f>
            </numRef>
          </val>
        </ser>
        <ser>
          <idx val="1"/>
          <order val="1"/>
          <tx>
            <strRef>
              <f>'可视化图表'!C183</f>
            </strRef>
          </tx>
          <spPr>
            <a:solidFill xmlns:a="http://schemas.openxmlformats.org/drawingml/2006/main">
              <a:srgbClr val="4A7B9D"/>
            </a:solidFill>
            <a:ln xmlns:a="http://schemas.openxmlformats.org/drawingml/2006/main">
              <a:solidFill>
                <a:srgbClr val="4A7B9D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'可视化图表'!$C$184:$C$188</f>
            </numRef>
          </val>
        </ser>
        <ser>
          <idx val="2"/>
          <order val="2"/>
          <tx>
            <strRef>
              <f>'可视化图表'!D183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solidFill>
                <a:srgbClr val="C9A96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'可视化图表'!$D$184:$D$188</f>
            </numRef>
          </val>
        </ser>
        <ser>
          <idx val="3"/>
          <order val="3"/>
          <tx>
            <strRef>
              <f>'可视化图表'!E183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solidFill>
                <a:srgbClr val="2A9D8F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'可视化图表'!$E$184:$E$188</f>
            </numRef>
          </val>
        </ser>
        <ser>
          <idx val="4"/>
          <order val="4"/>
          <tx>
            <strRef>
              <f>'可视化图表'!F183</f>
            </strRef>
          </tx>
          <spPr>
            <a:solidFill xmlns:a="http://schemas.openxmlformats.org/drawingml/2006/main">
              <a:srgbClr val="E76F51"/>
            </a:solidFill>
            <a:ln xmlns:a="http://schemas.openxmlformats.org/drawingml/2006/main">
              <a:solidFill>
                <a:srgbClr val="E76F51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'可视化图表'!$F$184:$F$188</f>
            </numRef>
          </val>
        </ser>
        <ser>
          <idx val="5"/>
          <order val="5"/>
          <tx>
            <strRef>
              <f>'可视化图表'!G183</f>
            </strRef>
          </tx>
          <spPr>
            <a:solidFill xmlns:a="http://schemas.openxmlformats.org/drawingml/2006/main">
              <a:srgbClr val="264653"/>
            </a:solidFill>
            <a:ln xmlns:a="http://schemas.openxmlformats.org/drawingml/2006/main">
              <a:solidFill>
                <a:srgbClr val="264653"/>
              </a:solidFill>
              <a:prstDash val="solid"/>
            </a:ln>
          </spPr>
          <cat>
            <numRef>
              <f>'可视化图表'!$A$184:$A$188</f>
            </numRef>
          </cat>
          <val>
            <numRef>
              <f>'可视化图表'!$G$184:$G$188</f>
            </numRef>
          </val>
        </ser>
        <dLbls>
          <showVal val="1"/>
        </dLbls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BEV/PHEV电池能量密度趋势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'可视化图表'!B213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'可视化图表'!$B$214:$B$218</f>
            </numRef>
          </val>
        </ser>
        <ser>
          <idx val="1"/>
          <order val="1"/>
          <tx>
            <strRef>
              <f>'可视化图表'!C213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'可视化图表'!$A$214:$A$218</f>
            </numRef>
          </cat>
          <val>
            <numRef>
              <f>'可视化图表'!$C$214:$C$218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9. BEV续航里程分布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'可视化图表'!B243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'可视化图表'!$A$244:$A$259</f>
            </numRef>
          </cat>
          <val>
            <numRef>
              <f>'可视化图表'!$B$244:$B$259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10. PHEV续航里程分布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'可视化图表'!B273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'可视化图表'!$A$274:$A$287</f>
            </numRef>
          </cat>
          <val>
            <numRef>
              <f>'可视化图表'!$B$274:$B$287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续航区间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11. BEV电机功率趋势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'可视化图表'!B303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'可视化图表'!$A$304:$A$308</f>
            </numRef>
          </cat>
          <val>
            <numRef>
              <f>'可视化图表'!$B$304:$B$308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功率(kW)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12. 整备质量对比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'可视化图表'!B333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'可视化图表'!$B$334:$B$338</f>
            </numRef>
          </val>
        </ser>
        <ser>
          <idx val="1"/>
          <order val="1"/>
          <tx>
            <strRef>
              <f>'可视化图表'!C333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'可视化图表'!$A$334:$A$338</f>
            </numRef>
          </cat>
          <val>
            <numRef>
              <f>'可视化图表'!$C$334:$C$338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质量(kg)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13. 功率质量比对比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'可视化图表'!B363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'可视化图表'!$B$364:$B$368</f>
            </numRef>
          </val>
        </ser>
        <ser>
          <idx val="1"/>
          <order val="1"/>
          <tx>
            <strRef>
              <f>'可视化图表'!C363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'可视化图表'!$A$364:$A$368</f>
            </numRef>
          </cat>
          <val>
            <numRef>
              <f>'可视化图表'!$C$364:$C$368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功率质量比(kW/kg)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14. 整车能量密度对比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'可视化图表'!B393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'可视化图表'!$B$394:$B$398</f>
            </numRef>
          </val>
        </ser>
        <ser>
          <idx val="1"/>
          <order val="1"/>
          <tx>
            <strRef>
              <f>'可视化图表'!C393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'可视化图表'!$A$394:$A$398</f>
            </numRef>
          </cat>
          <val>
            <numRef>
              <f>'可视化图表'!$C$394:$C$398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能量密度(Wh/kg)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15. BEV百公里电耗趋势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'可视化图表'!B423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'可视化图表'!$A$424:$A$428</f>
            </numRef>
          </cat>
          <val>
            <numRef>
              <f>'可视化图表'!$B$424:$B$428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电耗(kWh/100km)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16. PHEV油耗趋势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'可视化图表'!B453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'可视化图表'!$B$454:$B$458</f>
            </numRef>
          </val>
        </ser>
        <ser>
          <idx val="1"/>
          <order val="1"/>
          <tx>
            <strRef>
              <f>'可视化图表'!C453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'可视化图表'!$A$454:$A$458</f>
            </numRef>
          </cat>
          <val>
            <numRef>
              <f>'可视化图表'!$C$454:$C$458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油耗(L/100km)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17. 电池供应商HHI趋势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'可视化图表'!B483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'可视化图表'!$A$484:$A$488</f>
            </numRef>
          </cat>
          <val>
            <numRef>
              <f>'可视化图表'!$B$484:$B$488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18. 电机供应商HHI趋势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'可视化图表'!B513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'可视化图表'!$A$514:$A$518</f>
            </numRef>
          </cat>
          <val>
            <numRef>
              <f>'可视化图表'!$B$514:$B$518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HHI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19. 电池供应商CR趋势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'可视化图表'!B543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'可视化图表'!$B$544:$B$548</f>
            </numRef>
          </val>
        </ser>
        <ser>
          <idx val="1"/>
          <order val="1"/>
          <tx>
            <strRef>
              <f>'可视化图表'!C543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'可视化图表'!$C$544:$C$548</f>
            </numRef>
          </val>
        </ser>
        <ser>
          <idx val="2"/>
          <order val="2"/>
          <tx>
            <strRef>
              <f>'可视化图表'!D543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'可视化图表'!$A$544:$A$548</f>
            </numRef>
          </cat>
          <val>
            <numRef>
              <f>'可视化图表'!$D$544:$D$548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20. 电机供应商CR趋势</a:t>
            </a:r>
          </a:p>
        </rich>
      </tx>
    </title>
    <plotArea>
      <lineChart>
        <grouping val="standard"/>
        <ser>
          <idx val="0"/>
          <order val="0"/>
          <tx>
            <strRef>
              <f>'可视化图表'!B573</f>
            </strRef>
          </tx>
          <spPr>
            <a:ln xmlns:a="http://schemas.openxmlformats.org/drawingml/2006/main" w="28000">
              <a:solidFill>
                <a:srgbClr val="D97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'可视化图表'!$B$574:$B$578</f>
            </numRef>
          </val>
        </ser>
        <ser>
          <idx val="1"/>
          <order val="1"/>
          <tx>
            <strRef>
              <f>'可视化图表'!C573</f>
            </strRef>
          </tx>
          <spPr>
            <a:ln xmlns:a="http://schemas.openxmlformats.org/drawingml/2006/main" w="28000">
              <a:solidFill>
                <a:srgbClr val="4A7B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'可视化图表'!$C$574:$C$578</f>
            </numRef>
          </val>
        </ser>
        <ser>
          <idx val="2"/>
          <order val="2"/>
          <tx>
            <strRef>
              <f>'可视化图表'!D573</f>
            </strRef>
          </tx>
          <spPr>
            <a:ln xmlns:a="http://schemas.openxmlformats.org/drawingml/2006/main" w="28000">
              <a:solidFill>
                <a:srgbClr val="C9A96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'可视化图表'!$A$574:$A$578</f>
            </numRef>
          </cat>
          <val>
            <numRef>
              <f>'可视化图表'!$D$574:$D$578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年份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集中度(%)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21. 电池供应商Top10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'可视化图表'!B603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'可视化图表'!$A$604:$A$613</f>
            </numRef>
          </cat>
          <val>
            <numRef>
              <f>'可视化图表'!$B$604:$B$613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22. 电机供应商Top10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'可视化图表'!B633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'可视化图表'!$A$634:$A$643</f>
            </numRef>
          </cat>
          <val>
            <numRef>
              <f>'可视化图表'!$B$634:$B$643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供应商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23. BEV细分市场分布</a:t>
            </a:r>
          </a:p>
        </rich>
      </tx>
    </title>
    <plotArea>
      <pieChart>
        <varyColors val="1"/>
        <ser>
          <idx val="0"/>
          <order val="0"/>
          <tx>
            <strRef>
              <f>'可视化图表'!B663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9A96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9D8F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6F5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64653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D97757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A7B9D"/>
              </a:solidFill>
              <a:ln xmlns:a="http://schemas.openxmlformats.org/drawingml/2006/main">
                <a:prstDash val="solid"/>
              </a:ln>
            </spPr>
          </dPt>
          <cat>
            <numRef>
              <f>'可视化图表'!$A$664:$A$671</f>
            </numRef>
          </cat>
          <val>
            <numRef>
              <f>'可视化图表'!$B$664:$B$671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24. BEV细分市场平均续航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'可视化图表'!B693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'可视化图表'!$A$694:$A$703</f>
            </numRef>
          </cat>
          <val>
            <numRef>
              <f>'可视化图表'!$B$694:$B$703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续航(km)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25. BEV细分市场平均容量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'可视化图表'!B723</f>
            </strRef>
          </tx>
          <spPr>
            <a:solidFill xmlns:a="http://schemas.openxmlformats.org/drawingml/2006/main">
              <a:srgbClr val="D97757"/>
            </a:solidFill>
            <a:ln xmlns:a="http://schemas.openxmlformats.org/drawingml/2006/main">
              <a:solidFill>
                <a:srgbClr val="D97757"/>
              </a:solidFill>
              <a:prstDash val="solid"/>
            </a:ln>
          </spPr>
          <cat>
            <numRef>
              <f>'可视化图表'!$A$724:$A$733</f>
            </numRef>
          </cat>
          <val>
            <numRef>
              <f>'可视化图表'!$B$724:$B$733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细分市场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容量(kWh)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1200"/>
              </a:pPr>
              <a:r>
                <a:t>None</a:t>
              </a:r>
              <a:endParaRPr sz="1200"/>
            </a:p>
          </txPr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/>
            </a:pPr>
            <a:r>
              <a:t>None</a:t>
            </a:r>
            <a:endParaRPr sz="1200"/>
          </a:p>
        </txPr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3.xml" Id="rId1"/><Relationship Type="http://schemas.openxmlformats.org/officeDocument/2006/relationships/chart" Target="/xl/charts/chart24.xml" Id="rId2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Relationship Type="http://schemas.openxmlformats.org/officeDocument/2006/relationships/chart" Target="/xl/charts/chart41.xml" Id="rId3"/><Relationship Type="http://schemas.openxmlformats.org/officeDocument/2006/relationships/chart" Target="/xl/charts/chart42.xml" Id="rId4"/><Relationship Type="http://schemas.openxmlformats.org/officeDocument/2006/relationships/chart" Target="/xl/charts/chart43.xml" Id="rId5"/><Relationship Type="http://schemas.openxmlformats.org/officeDocument/2006/relationships/chart" Target="/xl/charts/chart44.xml" Id="rId6"/><Relationship Type="http://schemas.openxmlformats.org/officeDocument/2006/relationships/chart" Target="/xl/charts/chart45.xml" Id="rId7"/><Relationship Type="http://schemas.openxmlformats.org/officeDocument/2006/relationships/chart" Target="/xl/charts/chart46.xml" Id="rId8"/><Relationship Type="http://schemas.openxmlformats.org/officeDocument/2006/relationships/chart" Target="/xl/charts/chart47.xml" Id="rId9"/><Relationship Type="http://schemas.openxmlformats.org/officeDocument/2006/relationships/chart" Target="/xl/charts/chart48.xml" Id="rId10"/><Relationship Type="http://schemas.openxmlformats.org/officeDocument/2006/relationships/chart" Target="/xl/charts/chart49.xml" Id="rId11"/><Relationship Type="http://schemas.openxmlformats.org/officeDocument/2006/relationships/chart" Target="/xl/charts/chart50.xml" Id="rId12"/><Relationship Type="http://schemas.openxmlformats.org/officeDocument/2006/relationships/chart" Target="/xl/charts/chart51.xml" Id="rId13"/><Relationship Type="http://schemas.openxmlformats.org/officeDocument/2006/relationships/chart" Target="/xl/charts/chart52.xml" Id="rId14"/><Relationship Type="http://schemas.openxmlformats.org/officeDocument/2006/relationships/chart" Target="/xl/charts/chart53.xml" Id="rId15"/><Relationship Type="http://schemas.openxmlformats.org/officeDocument/2006/relationships/chart" Target="/xl/charts/chart54.xml" Id="rId16"/><Relationship Type="http://schemas.openxmlformats.org/officeDocument/2006/relationships/chart" Target="/xl/charts/chart55.xml" Id="rId17"/><Relationship Type="http://schemas.openxmlformats.org/officeDocument/2006/relationships/chart" Target="/xl/charts/chart56.xml" Id="rId18"/><Relationship Type="http://schemas.openxmlformats.org/officeDocument/2006/relationships/chart" Target="/xl/charts/chart57.xml" Id="rId19"/><Relationship Type="http://schemas.openxmlformats.org/officeDocument/2006/relationships/chart" Target="/xl/charts/chart58.xml" Id="rId20"/><Relationship Type="http://schemas.openxmlformats.org/officeDocument/2006/relationships/chart" Target="/xl/charts/chart59.xml" Id="rId21"/><Relationship Type="http://schemas.openxmlformats.org/officeDocument/2006/relationships/chart" Target="/xl/charts/chart60.xml" Id="rId22"/><Relationship Type="http://schemas.openxmlformats.org/officeDocument/2006/relationships/chart" Target="/xl/charts/chart61.xml" Id="rId23"/><Relationship Type="http://schemas.openxmlformats.org/officeDocument/2006/relationships/chart" Target="/xl/charts/chart62.xml" Id="rId24"/><Relationship Type="http://schemas.openxmlformats.org/officeDocument/2006/relationships/chart" Target="/xl/charts/chart63.xml" Id="rId25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10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20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5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6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79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62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92</row>
      <rowOff>0</rowOff>
    </from>
    <ext cx="792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122</row>
      <rowOff>0</rowOff>
    </from>
    <ext cx="792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152</row>
      <rowOff>0</rowOff>
    </from>
    <ext cx="792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182</row>
      <rowOff>0</rowOff>
    </from>
    <ext cx="792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212</row>
      <rowOff>0</rowOff>
    </from>
    <ext cx="792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7</col>
      <colOff>0</colOff>
      <row>242</row>
      <rowOff>0</rowOff>
    </from>
    <ext cx="792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7</col>
      <colOff>0</colOff>
      <row>272</row>
      <rowOff>0</rowOff>
    </from>
    <ext cx="792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7</col>
      <colOff>0</colOff>
      <row>302</row>
      <rowOff>0</rowOff>
    </from>
    <ext cx="792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7</col>
      <colOff>0</colOff>
      <row>332</row>
      <rowOff>0</rowOff>
    </from>
    <ext cx="792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7</col>
      <colOff>0</colOff>
      <row>362</row>
      <rowOff>0</rowOff>
    </from>
    <ext cx="792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7</col>
      <colOff>0</colOff>
      <row>392</row>
      <rowOff>0</rowOff>
    </from>
    <ext cx="792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7</col>
      <colOff>0</colOff>
      <row>422</row>
      <rowOff>0</rowOff>
    </from>
    <ext cx="792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7</col>
      <colOff>0</colOff>
      <row>452</row>
      <rowOff>0</rowOff>
    </from>
    <ext cx="792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7</col>
      <colOff>0</colOff>
      <row>482</row>
      <rowOff>0</rowOff>
    </from>
    <ext cx="792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7</col>
      <colOff>0</colOff>
      <row>512</row>
      <rowOff>0</rowOff>
    </from>
    <ext cx="792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7</col>
      <colOff>0</colOff>
      <row>542</row>
      <rowOff>0</rowOff>
    </from>
    <ext cx="792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7</col>
      <colOff>0</colOff>
      <row>572</row>
      <rowOff>0</rowOff>
    </from>
    <ext cx="792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7</col>
      <colOff>0</colOff>
      <row>602</row>
      <rowOff>0</rowOff>
    </from>
    <ext cx="792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7</col>
      <colOff>0</colOff>
      <row>632</row>
      <rowOff>0</rowOff>
    </from>
    <ext cx="792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7</col>
      <colOff>0</colOff>
      <row>662</row>
      <rowOff>0</rowOff>
    </from>
    <ext cx="792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7</col>
      <colOff>0</colOff>
      <row>692</row>
      <rowOff>0</rowOff>
    </from>
    <ext cx="792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7</col>
      <colOff>0</colOff>
      <row>722</row>
      <rowOff>0</rowOff>
    </from>
    <ext cx="792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sheet1.xml><?xml version="1.0" encoding="utf-8"?>
<worksheet xmlns="http://schemas.openxmlformats.org/spreadsheetml/2006/main">
  <sheetPr>
    <tabColor rgb="002D2D2D"/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</cols>
  <sheetData>
    <row r="2">
      <c r="B2" s="1" t="inlineStr">
        <is>
          <t>NEV公告车型行业分析</t>
        </is>
      </c>
    </row>
    <row r="4">
      <c r="B4" s="2" t="inlineStr">
        <is>
          <t>数据底表与可视化分析报告</t>
        </is>
      </c>
    </row>
    <row r="5" ht="6" customHeight="1">
      <c r="B5" s="3" t="n"/>
      <c r="C5" s="3" t="n"/>
      <c r="D5" s="3" t="n"/>
      <c r="E5" s="3" t="n"/>
      <c r="F5" s="3" t="n"/>
      <c r="G5" s="3" t="n"/>
    </row>
    <row r="8">
      <c r="B8" s="4" t="inlineStr">
        <is>
          <t>数据来源</t>
        </is>
      </c>
      <c r="C8" s="5" t="inlineStr">
        <is>
          <t>工信部新能源汽车公告批次数据 (第341-408批)</t>
        </is>
      </c>
    </row>
    <row r="9">
      <c r="B9" s="4" t="inlineStr">
        <is>
          <t>数据范围</t>
        </is>
      </c>
      <c r="C9" s="5" t="inlineStr">
        <is>
          <t>2021-2025  |  共 4,348 条记录</t>
        </is>
      </c>
    </row>
    <row r="10">
      <c r="B10" s="4" t="inlineStr">
        <is>
          <t>BEV车型数</t>
        </is>
      </c>
      <c r="C10" s="5" t="inlineStr">
        <is>
          <t>2,940 辆</t>
        </is>
      </c>
    </row>
    <row r="11">
      <c r="B11" s="4" t="inlineStr">
        <is>
          <t>PHEV车型数</t>
        </is>
      </c>
      <c r="C11" s="5" t="inlineStr">
        <is>
          <t>1,408 辆</t>
        </is>
      </c>
    </row>
    <row r="12">
      <c r="B12" s="4" t="inlineStr">
        <is>
          <t>覆盖品牌数</t>
        </is>
      </c>
      <c r="C12" s="5" t="inlineStr">
        <is>
          <t>201 个</t>
        </is>
      </c>
    </row>
    <row r="13">
      <c r="B13" s="4" t="inlineStr">
        <is>
          <t>覆盖企业数</t>
        </is>
      </c>
      <c r="C13" s="5" t="inlineStr">
        <is>
          <t>128 家</t>
        </is>
      </c>
    </row>
    <row r="14">
      <c r="B14" s="4" t="inlineStr">
        <is>
          <t>电池供应商数</t>
        </is>
      </c>
      <c r="C14" s="5" t="inlineStr">
        <is>
          <t>301 家</t>
        </is>
      </c>
    </row>
    <row r="15">
      <c r="B15" s="4" t="inlineStr">
        <is>
          <t>报告生成日期</t>
        </is>
      </c>
      <c r="C15" s="5" t="inlineStr">
        <is>
          <t>2026-08-08 03:56</t>
        </is>
      </c>
    </row>
    <row r="16">
      <c r="B16" s="4" t="inlineStr">
        <is>
          <t>工作表数量</t>
        </is>
      </c>
      <c r="C16" s="5" t="inlineStr">
        <is>
          <t>45 个</t>
        </is>
      </c>
    </row>
    <row r="17">
      <c r="B17" s="4" t="inlineStr">
        <is>
          <t>原生图表数量</t>
        </is>
      </c>
      <c r="C17" s="5" t="inlineStr">
        <is>
          <t>25+ 个</t>
        </is>
      </c>
    </row>
    <row r="20">
      <c r="B20" s="6" t="inlineStr">
        <is>
          <t>说明: 本工作簿所有数据均为可编辑单元格, 所有图表均为原生Excel图表(非图片)。</t>
        </is>
      </c>
    </row>
  </sheetData>
  <mergeCells count="10">
    <mergeCell ref="C13:F13"/>
    <mergeCell ref="C9:F9"/>
    <mergeCell ref="C17:F17"/>
    <mergeCell ref="C8:F8"/>
    <mergeCell ref="C12:F12"/>
    <mergeCell ref="C16:F16"/>
    <mergeCell ref="C15:F15"/>
    <mergeCell ref="C11:F11"/>
    <mergeCell ref="C10:F10"/>
    <mergeCell ref="C14:F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B9D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55" customWidth="1" min="3" max="3"/>
  </cols>
  <sheetData>
    <row r="1">
      <c r="A1" s="7" t="inlineStr">
        <is>
          <t>目录</t>
        </is>
      </c>
    </row>
    <row r="3">
      <c r="A3" s="8" t="inlineStr">
        <is>
          <t>序号</t>
        </is>
      </c>
      <c r="B3" s="8" t="inlineStr">
        <is>
          <t>工作表名称</t>
        </is>
      </c>
      <c r="C3" s="8" t="inlineStr">
        <is>
          <t>内容说明</t>
        </is>
      </c>
    </row>
    <row r="4">
      <c r="A4" s="9" t="n">
        <v>1</v>
      </c>
      <c r="B4" s="9" t="inlineStr">
        <is>
          <t>封面</t>
        </is>
      </c>
      <c r="C4" s="9" t="inlineStr">
        <is>
          <t>报告封面, 标题与基本信息</t>
        </is>
      </c>
    </row>
    <row r="5">
      <c r="A5" s="10" t="n">
        <v>2</v>
      </c>
      <c r="B5" s="10" t="inlineStr">
        <is>
          <t>目录</t>
        </is>
      </c>
      <c r="C5" s="10" t="inlineStr">
        <is>
          <t>本页 - 工作表导航</t>
        </is>
      </c>
    </row>
    <row r="6">
      <c r="A6" s="9" t="n">
        <v>3</v>
      </c>
      <c r="B6" s="9" t="inlineStr">
        <is>
          <t>执行摘要</t>
        </is>
      </c>
      <c r="C6" s="9" t="inlineStr">
        <is>
          <t>关键指标摘要表</t>
        </is>
      </c>
    </row>
    <row r="7">
      <c r="A7" s="10" t="n">
        <v>4</v>
      </c>
      <c r="B7" s="10" t="inlineStr">
        <is>
          <t>数据总览</t>
        </is>
      </c>
      <c r="C7" s="10" t="inlineStr">
        <is>
          <t>总体数据概览</t>
        </is>
      </c>
    </row>
    <row r="8">
      <c r="A8" s="9" t="n">
        <v>5</v>
      </c>
      <c r="B8" s="9" t="inlineStr">
        <is>
          <t>年度分布</t>
        </is>
      </c>
      <c r="C8" s="9" t="inlineStr">
        <is>
          <t>各年度BEV/PHEV数量与占比</t>
        </is>
      </c>
    </row>
    <row r="9">
      <c r="A9" s="10" t="n">
        <v>6</v>
      </c>
      <c r="B9" s="10" t="inlineStr">
        <is>
          <t>BEV续航分析</t>
        </is>
      </c>
      <c r="C9" s="10" t="inlineStr">
        <is>
          <t>BEV续航里程年度统计(均值/中位/分位数)</t>
        </is>
      </c>
    </row>
    <row r="10">
      <c r="A10" s="9" t="n">
        <v>7</v>
      </c>
      <c r="B10" s="9" t="inlineStr">
        <is>
          <t>PHEV续航分析</t>
        </is>
      </c>
      <c r="C10" s="9" t="inlineStr">
        <is>
          <t>PHEV续航里程年度统计</t>
        </is>
      </c>
    </row>
    <row r="11">
      <c r="A11" s="10" t="n">
        <v>8</v>
      </c>
      <c r="B11" s="10" t="inlineStr">
        <is>
          <t>续航对比分析</t>
        </is>
      </c>
      <c r="C11" s="10" t="inlineStr">
        <is>
          <t>BEV vs PHEV续航对比</t>
        </is>
      </c>
    </row>
    <row r="12">
      <c r="A12" s="9" t="n">
        <v>9</v>
      </c>
      <c r="B12" s="9" t="inlineStr">
        <is>
          <t>电池容量分析</t>
        </is>
      </c>
      <c r="C12" s="9" t="inlineStr">
        <is>
          <t>电池容量年度趋势</t>
        </is>
      </c>
    </row>
    <row r="13">
      <c r="A13" s="10" t="n">
        <v>10</v>
      </c>
      <c r="B13" s="10" t="inlineStr">
        <is>
          <t>BEV容量分布</t>
        </is>
      </c>
      <c r="C13" s="10" t="inlineStr">
        <is>
          <t>BEV电池容量分布区间</t>
        </is>
      </c>
    </row>
    <row r="14">
      <c r="A14" s="9" t="n">
        <v>11</v>
      </c>
      <c r="B14" s="9" t="inlineStr">
        <is>
          <t>PHEV容量分布</t>
        </is>
      </c>
      <c r="C14" s="9" t="inlineStr">
        <is>
          <t>PHEV电池容量分布区间</t>
        </is>
      </c>
    </row>
    <row r="15">
      <c r="A15" s="10" t="n">
        <v>12</v>
      </c>
      <c r="B15" s="10" t="inlineStr">
        <is>
          <t>电池类型趋势-BEV</t>
        </is>
      </c>
      <c r="C15" s="10" t="inlineStr">
        <is>
          <t>BEV电池类型年度占比与数量</t>
        </is>
      </c>
    </row>
    <row r="16">
      <c r="A16" s="9" t="n">
        <v>13</v>
      </c>
      <c r="B16" s="9" t="inlineStr">
        <is>
          <t>电池类型趋势-PHEV</t>
        </is>
      </c>
      <c r="C16" s="9" t="inlineStr">
        <is>
          <t>PHEV电池类型年度占比与数量</t>
        </is>
      </c>
    </row>
    <row r="17">
      <c r="A17" s="10" t="n">
        <v>14</v>
      </c>
      <c r="B17" s="10" t="inlineStr">
        <is>
          <t>电池能量密度</t>
        </is>
      </c>
      <c r="C17" s="10" t="inlineStr">
        <is>
          <t>电池能量密度年度趋势</t>
        </is>
      </c>
    </row>
    <row r="18">
      <c r="A18" s="9" t="n">
        <v>15</v>
      </c>
      <c r="B18" s="9" t="inlineStr">
        <is>
          <t>续航分布-BEV</t>
        </is>
      </c>
      <c r="C18" s="9" t="inlineStr">
        <is>
          <t>BEV续航里程分布直方图</t>
        </is>
      </c>
    </row>
    <row r="19">
      <c r="A19" s="10" t="n">
        <v>16</v>
      </c>
      <c r="B19" s="10" t="inlineStr">
        <is>
          <t>续航分布-PHEV</t>
        </is>
      </c>
      <c r="C19" s="10" t="inlineStr">
        <is>
          <t>PHEV续航里程分布直方图</t>
        </is>
      </c>
    </row>
    <row r="20">
      <c r="A20" s="9" t="n">
        <v>17</v>
      </c>
      <c r="B20" s="9" t="inlineStr">
        <is>
          <t>电机功率分析</t>
        </is>
      </c>
      <c r="C20" s="9" t="inlineStr">
        <is>
          <t>电机功率年度趋势</t>
        </is>
      </c>
    </row>
    <row r="21">
      <c r="A21" s="10" t="n">
        <v>18</v>
      </c>
      <c r="B21" s="10" t="inlineStr">
        <is>
          <t>整备质量分析</t>
        </is>
      </c>
      <c r="C21" s="10" t="inlineStr">
        <is>
          <t>整备质量年度趋势</t>
        </is>
      </c>
    </row>
    <row r="22">
      <c r="A22" s="9" t="n">
        <v>19</v>
      </c>
      <c r="B22" s="9" t="inlineStr">
        <is>
          <t>功率质量比</t>
        </is>
      </c>
      <c r="C22" s="9" t="inlineStr">
        <is>
          <t>功率质量比(kW/kg)年度趋势</t>
        </is>
      </c>
    </row>
    <row r="23">
      <c r="A23" s="10" t="n">
        <v>20</v>
      </c>
      <c r="B23" s="10" t="inlineStr">
        <is>
          <t>整车能量密度</t>
        </is>
      </c>
      <c r="C23" s="10" t="inlineStr">
        <is>
          <t>整车能量密度(Wh/kg)年度趋势</t>
        </is>
      </c>
    </row>
    <row r="24">
      <c r="A24" s="9" t="n">
        <v>21</v>
      </c>
      <c r="B24" s="9" t="inlineStr">
        <is>
          <t>能效分析</t>
        </is>
      </c>
      <c r="C24" s="9" t="inlineStr">
        <is>
          <t>百公里电耗年度趋势与电池类型对比</t>
        </is>
      </c>
    </row>
    <row r="25">
      <c r="A25" s="10" t="n">
        <v>22</v>
      </c>
      <c r="B25" s="10" t="inlineStr">
        <is>
          <t>PHEV油耗分析</t>
        </is>
      </c>
      <c r="C25" s="10" t="inlineStr">
        <is>
          <t>PHEV综合/B状态油耗分析</t>
        </is>
      </c>
    </row>
    <row r="26">
      <c r="A26" s="9" t="n">
        <v>23</v>
      </c>
      <c r="B26" s="9" t="inlineStr">
        <is>
          <t>PHEV油耗-排量年份</t>
        </is>
      </c>
      <c r="C26" s="9" t="inlineStr">
        <is>
          <t>PHEV油耗排量x年份交叉表</t>
        </is>
      </c>
    </row>
    <row r="27">
      <c r="A27" s="10" t="n">
        <v>24</v>
      </c>
      <c r="B27" s="10" t="inlineStr">
        <is>
          <t>技术路线矩阵</t>
        </is>
      </c>
      <c r="C27" s="10" t="inlineStr">
        <is>
          <t>续航-容量四象限分布</t>
        </is>
      </c>
    </row>
    <row r="28">
      <c r="A28" s="9" t="n">
        <v>25</v>
      </c>
      <c r="B28" s="9" t="inlineStr">
        <is>
          <t>供应商集中度</t>
        </is>
      </c>
      <c r="C28" s="9" t="inlineStr">
        <is>
          <t>HHI指数与供应商数量</t>
        </is>
      </c>
    </row>
    <row r="29">
      <c r="A29" s="10" t="n">
        <v>26</v>
      </c>
      <c r="B29" s="10" t="inlineStr">
        <is>
          <t>电池供应商CR</t>
        </is>
      </c>
      <c r="C29" s="10" t="inlineStr">
        <is>
          <t>电池供应商CR3/CR5/CR10趋势</t>
        </is>
      </c>
    </row>
    <row r="30">
      <c r="A30" s="9" t="n">
        <v>27</v>
      </c>
      <c r="B30" s="9" t="inlineStr">
        <is>
          <t>电机供应商CR</t>
        </is>
      </c>
      <c r="C30" s="9" t="inlineStr">
        <is>
          <t>电机供应商CR3/CR5/CR10趋势</t>
        </is>
      </c>
    </row>
    <row r="31">
      <c r="A31" s="10" t="n">
        <v>28</v>
      </c>
      <c r="B31" s="10" t="inlineStr">
        <is>
          <t>电池供应商排名</t>
        </is>
      </c>
      <c r="C31" s="10" t="inlineStr">
        <is>
          <t>Top20电池供应商</t>
        </is>
      </c>
    </row>
    <row r="32">
      <c r="A32" s="9" t="n">
        <v>29</v>
      </c>
      <c r="B32" s="9" t="inlineStr">
        <is>
          <t>电机供应商排名</t>
        </is>
      </c>
      <c r="C32" s="9" t="inlineStr">
        <is>
          <t>Top20电机供应商</t>
        </is>
      </c>
    </row>
    <row r="33">
      <c r="A33" s="10" t="n">
        <v>30</v>
      </c>
      <c r="B33" s="10" t="inlineStr">
        <is>
          <t>供应商组合</t>
        </is>
      </c>
      <c r="C33" s="10" t="inlineStr">
        <is>
          <t>Top20电池-电机供应商组合</t>
        </is>
      </c>
    </row>
    <row r="34">
      <c r="A34" s="9" t="n">
        <v>31</v>
      </c>
      <c r="B34" s="9" t="inlineStr">
        <is>
          <t>品牌-电池供应商</t>
        </is>
      </c>
      <c r="C34" s="9" t="inlineStr">
        <is>
          <t>Top10品牌xTop5电池供应商矩阵</t>
        </is>
      </c>
    </row>
    <row r="35">
      <c r="A35" s="10" t="n">
        <v>32</v>
      </c>
      <c r="B35" s="10" t="inlineStr">
        <is>
          <t>品牌-电机供应商</t>
        </is>
      </c>
      <c r="C35" s="10" t="inlineStr">
        <is>
          <t>Top10品牌xTop5电机供应商矩阵</t>
        </is>
      </c>
    </row>
    <row r="36">
      <c r="A36" s="9" t="n">
        <v>33</v>
      </c>
      <c r="B36" s="9" t="inlineStr">
        <is>
          <t>细分市场-BEV</t>
        </is>
      </c>
      <c r="C36" s="9" t="inlineStr">
        <is>
          <t>BEV各细分市场汇总</t>
        </is>
      </c>
    </row>
    <row r="37">
      <c r="A37" s="10" t="n">
        <v>34</v>
      </c>
      <c r="B37" s="10" t="inlineStr">
        <is>
          <t>细分市场-PHEV</t>
        </is>
      </c>
      <c r="C37" s="10" t="inlineStr">
        <is>
          <t>PHEV各细分市场汇总</t>
        </is>
      </c>
    </row>
    <row r="38">
      <c r="A38" s="9" t="n">
        <v>35</v>
      </c>
      <c r="B38" s="9" t="inlineStr">
        <is>
          <t>细分市场续航对比</t>
        </is>
      </c>
      <c r="C38" s="9" t="inlineStr">
        <is>
          <t>细分市场续航2023 vs 2025</t>
        </is>
      </c>
    </row>
    <row r="39">
      <c r="A39" s="10" t="n">
        <v>36</v>
      </c>
      <c r="B39" s="10" t="inlineStr">
        <is>
          <t>细分市场容量对比</t>
        </is>
      </c>
      <c r="C39" s="10" t="inlineStr">
        <is>
          <t>细分市场容量2023 vs 2025</t>
        </is>
      </c>
    </row>
    <row r="40">
      <c r="A40" s="9" t="n">
        <v>37</v>
      </c>
      <c r="B40" s="9" t="inlineStr">
        <is>
          <t>质量按细分市场</t>
        </is>
      </c>
      <c r="C40" s="9" t="inlineStr">
        <is>
          <t>各细分市场整备质量</t>
        </is>
      </c>
    </row>
    <row r="41">
      <c r="A41" s="10" t="n">
        <v>38</v>
      </c>
      <c r="B41" s="10" t="inlineStr">
        <is>
          <t>相关性-BEV</t>
        </is>
      </c>
      <c r="C41" s="10" t="inlineStr">
        <is>
          <t>BEV指标相关性矩阵</t>
        </is>
      </c>
    </row>
    <row r="42">
      <c r="A42" s="9" t="n">
        <v>39</v>
      </c>
      <c r="B42" s="9" t="inlineStr">
        <is>
          <t>相关性-PHEV</t>
        </is>
      </c>
      <c r="C42" s="9" t="inlineStr">
        <is>
          <t>PHEV指标相关性矩阵</t>
        </is>
      </c>
    </row>
    <row r="43">
      <c r="A43" s="10" t="n">
        <v>40</v>
      </c>
      <c r="B43" s="10" t="inlineStr">
        <is>
          <t>同比增长-BEV</t>
        </is>
      </c>
      <c r="C43" s="10" t="inlineStr">
        <is>
          <t>BEV各指标同比增长率</t>
        </is>
      </c>
    </row>
    <row r="44">
      <c r="A44" s="9" t="n">
        <v>41</v>
      </c>
      <c r="B44" s="9" t="inlineStr">
        <is>
          <t>同比增长-PHEV</t>
        </is>
      </c>
      <c r="C44" s="9" t="inlineStr">
        <is>
          <t>PHEV各指标同比增长率</t>
        </is>
      </c>
    </row>
    <row r="45">
      <c r="A45" s="10" t="n">
        <v>42</v>
      </c>
      <c r="B45" s="10" t="inlineStr">
        <is>
          <t>关键指标汇总-BEV</t>
        </is>
      </c>
      <c r="C45" s="10" t="inlineStr">
        <is>
          <t>BEV描述性统计</t>
        </is>
      </c>
    </row>
    <row r="46">
      <c r="A46" s="9" t="n">
        <v>43</v>
      </c>
      <c r="B46" s="9" t="inlineStr">
        <is>
          <t>关键指标汇总-PHEV</t>
        </is>
      </c>
      <c r="C46" s="9" t="inlineStr">
        <is>
          <t>PHEV描述性统计</t>
        </is>
      </c>
    </row>
    <row r="47">
      <c r="A47" s="10" t="n">
        <v>44</v>
      </c>
      <c r="B47" s="10" t="inlineStr">
        <is>
          <t>年度综合指标</t>
        </is>
      </c>
      <c r="C47" s="10" t="inlineStr">
        <is>
          <t>年度综合技术指标汇总</t>
        </is>
      </c>
    </row>
    <row r="48">
      <c r="A48" s="9" t="n">
        <v>45</v>
      </c>
      <c r="B48" s="9" t="inlineStr">
        <is>
          <t>可视化图表</t>
        </is>
      </c>
      <c r="C48" s="9" t="inlineStr">
        <is>
          <t>25+原生Excel图表汇总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961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</cols>
  <sheetData>
    <row r="1">
      <c r="A1" s="7" t="inlineStr">
        <is>
          <t>执行摘要 - 关键指标</t>
        </is>
      </c>
    </row>
    <row r="3">
      <c r="A3" s="8" t="inlineStr">
        <is>
          <t>关键指标</t>
        </is>
      </c>
      <c r="B3" s="8" t="inlineStr">
        <is>
          <t>数值</t>
        </is>
      </c>
      <c r="C3" s="8" t="inlineStr">
        <is>
          <t>说明</t>
        </is>
      </c>
    </row>
    <row r="4">
      <c r="A4" s="9" t="inlineStr">
        <is>
          <t>总记录数</t>
        </is>
      </c>
      <c r="B4" s="9" t="n">
        <v>4348</v>
      </c>
      <c r="C4" s="9" t="inlineStr">
        <is>
          <t>公告批次总车型记录数</t>
        </is>
      </c>
    </row>
    <row r="5">
      <c r="A5" s="10" t="inlineStr">
        <is>
          <t>BEV数量</t>
        </is>
      </c>
      <c r="B5" s="10" t="n">
        <v>2940</v>
      </c>
      <c r="C5" s="10" t="inlineStr">
        <is>
          <t>纯电动车型数</t>
        </is>
      </c>
    </row>
    <row r="6">
      <c r="A6" s="9" t="inlineStr">
        <is>
          <t>PHEV数量</t>
        </is>
      </c>
      <c r="B6" s="9" t="n">
        <v>1408</v>
      </c>
      <c r="C6" s="9" t="inlineStr">
        <is>
          <t>插电式混合动力车型数</t>
        </is>
      </c>
    </row>
    <row r="7">
      <c r="A7" s="10" t="inlineStr">
        <is>
          <t>BEV占比(%)</t>
        </is>
      </c>
      <c r="B7" s="10" t="n">
        <v>67.59999999999999</v>
      </c>
      <c r="C7" s="10" t="inlineStr">
        <is>
          <t>BEV占总数比例</t>
        </is>
      </c>
    </row>
    <row r="8">
      <c r="A8" s="9" t="inlineStr">
        <is>
          <t>PHEV占比(%)</t>
        </is>
      </c>
      <c r="B8" s="9" t="n">
        <v>32.4</v>
      </c>
      <c r="C8" s="9" t="inlineStr">
        <is>
          <t>PHEV占总数比例</t>
        </is>
      </c>
    </row>
    <row r="9">
      <c r="A9" s="10" t="inlineStr">
        <is>
          <t>覆盖品牌数</t>
        </is>
      </c>
      <c r="B9" s="10" t="n">
        <v>201</v>
      </c>
      <c r="C9" s="10" t="inlineStr">
        <is>
          <t>不同产品商标数</t>
        </is>
      </c>
    </row>
    <row r="10">
      <c r="A10" s="9" t="inlineStr">
        <is>
          <t>覆盖企业数</t>
        </is>
      </c>
      <c r="B10" s="9" t="n">
        <v>128</v>
      </c>
      <c r="C10" s="9" t="inlineStr">
        <is>
          <t>不同生产企业数</t>
        </is>
      </c>
    </row>
    <row r="11">
      <c r="A11" s="10" t="inlineStr">
        <is>
          <t>电池供应商数</t>
        </is>
      </c>
      <c r="B11" s="10" t="n">
        <v>301</v>
      </c>
      <c r="C11" s="10" t="inlineStr">
        <is>
          <t>不同电池供应商数</t>
        </is>
      </c>
    </row>
    <row r="12">
      <c r="A12" s="9" t="inlineStr">
        <is>
          <t>BEV平均续航(km)</t>
        </is>
      </c>
      <c r="B12" s="9" t="n">
        <v>503.96</v>
      </c>
      <c r="C12" s="9" t="inlineStr">
        <is>
          <t>BEV纯电续航均值</t>
        </is>
      </c>
    </row>
    <row r="13">
      <c r="A13" s="10" t="inlineStr">
        <is>
          <t>PHEV平均续航(km)</t>
        </is>
      </c>
      <c r="B13" s="10" t="n">
        <v>143.26</v>
      </c>
      <c r="C13" s="10" t="inlineStr">
        <is>
          <t>PHEV纯电续航均值</t>
        </is>
      </c>
    </row>
    <row r="14">
      <c r="A14" s="9" t="inlineStr">
        <is>
          <t>BEV平均电池容量(kWh)</t>
        </is>
      </c>
      <c r="B14" s="9" t="n">
        <v>64.47</v>
      </c>
      <c r="C14" s="9" t="inlineStr">
        <is>
          <t>BEV电池容量均值</t>
        </is>
      </c>
    </row>
    <row r="15">
      <c r="A15" s="10" t="inlineStr">
        <is>
          <t>PHEV平均电池容量(kWh)</t>
        </is>
      </c>
      <c r="B15" s="10" t="n">
        <v>30.96</v>
      </c>
      <c r="C15" s="10" t="inlineStr">
        <is>
          <t>PHEV电池容量均值</t>
        </is>
      </c>
    </row>
    <row r="16">
      <c r="A16" s="9" t="inlineStr">
        <is>
          <t>BEV平均电机功率(kW)</t>
        </is>
      </c>
      <c r="B16" s="9" t="n">
        <v>160.37</v>
      </c>
      <c r="C16" s="9" t="inlineStr">
        <is>
          <t>BEV电机功率均值</t>
        </is>
      </c>
    </row>
    <row r="17">
      <c r="A17" s="10" t="inlineStr">
        <is>
          <t>BEV平均整备质量(kg)</t>
        </is>
      </c>
      <c r="B17" s="10" t="n">
        <v>1837.43</v>
      </c>
      <c r="C17" s="10" t="inlineStr">
        <is>
          <t>BEV整备质量均值</t>
        </is>
      </c>
    </row>
    <row r="18">
      <c r="A18" s="9" t="inlineStr">
        <is>
          <t>PHEV平均整备质量(kg)</t>
        </is>
      </c>
      <c r="B18" s="9" t="n">
        <v>2138.24</v>
      </c>
      <c r="C18" s="9" t="inlineStr">
        <is>
          <t>PHEV整备质量均值</t>
        </is>
      </c>
    </row>
    <row r="19">
      <c r="A19" s="10" t="inlineStr">
        <is>
          <t>BEV平均电池能量密度(Wh/kg)</t>
        </is>
      </c>
      <c r="B19" s="10" t="n">
        <v>152.56</v>
      </c>
      <c r="C19" s="10" t="inlineStr">
        <is>
          <t>BEV电池能量密度均值</t>
        </is>
      </c>
    </row>
    <row r="20">
      <c r="A20" s="9" t="inlineStr">
        <is>
          <t>BEV平均整车能量密度(Wh/kg)</t>
        </is>
      </c>
      <c r="B20" s="9" t="n">
        <v>34.01</v>
      </c>
      <c r="C20" s="9" t="inlineStr">
        <is>
          <t>BEV整车能量密度均值</t>
        </is>
      </c>
    </row>
    <row r="21">
      <c r="A21" s="10" t="inlineStr">
        <is>
          <t>电池供应商总体HHI</t>
        </is>
      </c>
      <c r="B21" s="10" t="n">
        <v>642.3</v>
      </c>
      <c r="C21" s="10" t="inlineStr">
        <is>
          <t>电池供应商赫芬达尔指数</t>
        </is>
      </c>
    </row>
    <row r="22">
      <c r="A22" s="9" t="inlineStr">
        <is>
          <t>电池供应商CR3(%)</t>
        </is>
      </c>
      <c r="B22" s="9" t="n">
        <v>35.6</v>
      </c>
      <c r="C22" s="9" t="inlineStr">
        <is>
          <t>电池供应商前3集中度</t>
        </is>
      </c>
    </row>
    <row r="23">
      <c r="A23" s="10" t="inlineStr">
        <is>
          <t>电池供应商CR5(%)</t>
        </is>
      </c>
      <c r="B23" s="10" t="n">
        <v>47.2</v>
      </c>
      <c r="C23" s="10" t="inlineStr">
        <is>
          <t>电池供应商前5集中度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9D8F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数据总览</t>
        </is>
      </c>
    </row>
    <row r="3">
      <c r="A3" s="11" t="inlineStr">
        <is>
          <t>总记录数</t>
        </is>
      </c>
      <c r="B3" s="12" t="n">
        <v>4348</v>
      </c>
      <c r="C3" s="13" t="n"/>
      <c r="D3" s="13" t="n"/>
      <c r="E3" s="13" t="n"/>
      <c r="F3" s="14" t="n"/>
    </row>
    <row r="4">
      <c r="A4" s="11" t="inlineStr">
        <is>
          <t>批次范围</t>
        </is>
      </c>
      <c r="B4" s="12" t="inlineStr">
        <is>
          <t>341-408</t>
        </is>
      </c>
      <c r="C4" s="13" t="n"/>
      <c r="D4" s="13" t="n"/>
      <c r="E4" s="13" t="n"/>
      <c r="F4" s="14" t="n"/>
    </row>
    <row r="5">
      <c r="A5" s="11" t="inlineStr">
        <is>
          <t>年份范围</t>
        </is>
      </c>
      <c r="B5" s="12" t="inlineStr">
        <is>
          <t>2021-2025</t>
        </is>
      </c>
      <c r="C5" s="13" t="n"/>
      <c r="D5" s="13" t="n"/>
      <c r="E5" s="13" t="n"/>
      <c r="F5" s="14" t="n"/>
    </row>
    <row r="6">
      <c r="A6" s="11" t="inlineStr">
        <is>
          <t>BEV数量</t>
        </is>
      </c>
      <c r="B6" s="12" t="n">
        <v>2940</v>
      </c>
      <c r="C6" s="13" t="n"/>
      <c r="D6" s="13" t="n"/>
      <c r="E6" s="13" t="n"/>
      <c r="F6" s="14" t="n"/>
    </row>
    <row r="7">
      <c r="A7" s="11" t="inlineStr">
        <is>
          <t>PHEV数量</t>
        </is>
      </c>
      <c r="B7" s="12" t="n">
        <v>1408</v>
      </c>
      <c r="C7" s="13" t="n"/>
      <c r="D7" s="13" t="n"/>
      <c r="E7" s="13" t="n"/>
      <c r="F7" s="14" t="n"/>
    </row>
    <row r="8">
      <c r="A8" s="11" t="inlineStr">
        <is>
          <t>品牌数</t>
        </is>
      </c>
      <c r="B8" s="12" t="n">
        <v>201</v>
      </c>
      <c r="C8" s="13" t="n"/>
      <c r="D8" s="13" t="n"/>
      <c r="E8" s="13" t="n"/>
      <c r="F8" s="14" t="n"/>
    </row>
    <row r="9">
      <c r="A9" s="11" t="inlineStr">
        <is>
          <t>企业数</t>
        </is>
      </c>
      <c r="B9" s="12" t="n">
        <v>128</v>
      </c>
      <c r="C9" s="13" t="n"/>
      <c r="D9" s="13" t="n"/>
      <c r="E9" s="13" t="n"/>
      <c r="F9" s="14" t="n"/>
    </row>
    <row r="10">
      <c r="A10" s="11" t="inlineStr">
        <is>
          <t>车型数</t>
        </is>
      </c>
      <c r="B10" s="12" t="n">
        <v>4230</v>
      </c>
      <c r="C10" s="13" t="n"/>
      <c r="D10" s="13" t="n"/>
      <c r="E10" s="13" t="n"/>
      <c r="F10" s="14" t="n"/>
    </row>
    <row r="11">
      <c r="A11" s="11" t="inlineStr">
        <is>
          <t>细分市场数</t>
        </is>
      </c>
      <c r="B11" s="12" t="n">
        <v>28</v>
      </c>
      <c r="C11" s="13" t="n"/>
      <c r="D11" s="13" t="n"/>
      <c r="E11" s="13" t="n"/>
      <c r="F11" s="14" t="n"/>
    </row>
    <row r="12">
      <c r="A12" s="11" t="inlineStr">
        <is>
          <t>电池供应商覆盖数</t>
        </is>
      </c>
      <c r="B12" s="12" t="n">
        <v>301</v>
      </c>
      <c r="C12" s="13" t="n"/>
      <c r="D12" s="13" t="n"/>
      <c r="E12" s="13" t="n"/>
      <c r="F12" s="14" t="n"/>
    </row>
    <row r="13">
      <c r="A13" s="11" t="inlineStr">
        <is>
          <t>电池供应商覆盖率(%)</t>
        </is>
      </c>
      <c r="B13" s="12" t="inlineStr">
        <is>
          <t>69.8%</t>
        </is>
      </c>
      <c r="C13" s="13" t="n"/>
      <c r="D13" s="13" t="n"/>
      <c r="E13" s="13" t="n"/>
      <c r="F13" s="14" t="n"/>
    </row>
    <row r="14">
      <c r="A14" s="11" t="inlineStr">
        <is>
          <t>电池组质量覆盖数</t>
        </is>
      </c>
      <c r="B14" s="12" t="inlineStr">
        <is>
          <t>2130</t>
        </is>
      </c>
      <c r="C14" s="13" t="n"/>
      <c r="D14" s="13" t="n"/>
      <c r="E14" s="13" t="n"/>
      <c r="F14" s="14" t="n"/>
    </row>
    <row r="18">
      <c r="A18" s="7" t="inlineStr">
        <is>
          <t>年度分布明细</t>
        </is>
      </c>
    </row>
    <row r="20">
      <c r="A20" s="8" t="inlineStr">
        <is>
          <t>年份</t>
        </is>
      </c>
      <c r="B20" s="8" t="inlineStr">
        <is>
          <t>BEV数量</t>
        </is>
      </c>
      <c r="C20" s="8" t="inlineStr">
        <is>
          <t>PHEV数量</t>
        </is>
      </c>
      <c r="D20" s="8" t="inlineStr">
        <is>
          <t>总计</t>
        </is>
      </c>
      <c r="E20" s="8" t="inlineStr">
        <is>
          <t>BEV占比(%)</t>
        </is>
      </c>
      <c r="F20" s="8" t="inlineStr">
        <is>
          <t>PHEV占比(%)</t>
        </is>
      </c>
    </row>
    <row r="21">
      <c r="A21" s="9" t="n">
        <v>2021</v>
      </c>
      <c r="B21" s="9" t="n">
        <v>498</v>
      </c>
      <c r="C21" s="9" t="n">
        <v>84</v>
      </c>
      <c r="D21" s="9" t="n">
        <v>582</v>
      </c>
      <c r="E21" s="9" t="n">
        <v>85.59999999999999</v>
      </c>
      <c r="F21" s="9" t="n">
        <v>14.4</v>
      </c>
    </row>
    <row r="22">
      <c r="A22" s="10" t="n">
        <v>2022</v>
      </c>
      <c r="B22" s="10" t="n">
        <v>441</v>
      </c>
      <c r="C22" s="10" t="n">
        <v>116</v>
      </c>
      <c r="D22" s="10" t="n">
        <v>557</v>
      </c>
      <c r="E22" s="10" t="n">
        <v>79.2</v>
      </c>
      <c r="F22" s="10" t="n">
        <v>20.8</v>
      </c>
    </row>
    <row r="23">
      <c r="A23" s="9" t="n">
        <v>2023</v>
      </c>
      <c r="B23" s="9" t="n">
        <v>663</v>
      </c>
      <c r="C23" s="9" t="n">
        <v>248</v>
      </c>
      <c r="D23" s="9" t="n">
        <v>911</v>
      </c>
      <c r="E23" s="9" t="n">
        <v>72.8</v>
      </c>
      <c r="F23" s="9" t="n">
        <v>27.2</v>
      </c>
    </row>
    <row r="24">
      <c r="A24" s="10" t="n">
        <v>2024</v>
      </c>
      <c r="B24" s="10" t="n">
        <v>771</v>
      </c>
      <c r="C24" s="10" t="n">
        <v>394</v>
      </c>
      <c r="D24" s="10" t="n">
        <v>1165</v>
      </c>
      <c r="E24" s="10" t="n">
        <v>66.2</v>
      </c>
      <c r="F24" s="10" t="n">
        <v>33.8</v>
      </c>
    </row>
    <row r="25">
      <c r="A25" s="9" t="n">
        <v>2025</v>
      </c>
      <c r="B25" s="9" t="n">
        <v>567</v>
      </c>
      <c r="C25" s="9" t="n">
        <v>566</v>
      </c>
      <c r="D25" s="9" t="n">
        <v>1133</v>
      </c>
      <c r="E25" s="9" t="n">
        <v>50</v>
      </c>
      <c r="F25" s="9" t="n">
        <v>50</v>
      </c>
    </row>
  </sheetData>
  <mergeCells count="14">
    <mergeCell ref="B4:F4"/>
    <mergeCell ref="B12:F12"/>
    <mergeCell ref="B7:F7"/>
    <mergeCell ref="B6:F6"/>
    <mergeCell ref="B10:F10"/>
    <mergeCell ref="A1:F1"/>
    <mergeCell ref="B11:F11"/>
    <mergeCell ref="B3:F3"/>
    <mergeCell ref="B5:F5"/>
    <mergeCell ref="A18:F18"/>
    <mergeCell ref="B14:F14"/>
    <mergeCell ref="B8:F8"/>
    <mergeCell ref="B9:F9"/>
    <mergeCell ref="B13:F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A9D8F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年度分布</t>
        </is>
      </c>
    </row>
    <row r="3">
      <c r="A3" s="8" t="inlineStr">
        <is>
          <t>年份</t>
        </is>
      </c>
      <c r="B3" s="8" t="inlineStr">
        <is>
          <t>BEV数量</t>
        </is>
      </c>
      <c r="C3" s="8" t="inlineStr">
        <is>
          <t>PHEV数量</t>
        </is>
      </c>
      <c r="D3" s="8" t="inlineStr">
        <is>
          <t>总计</t>
        </is>
      </c>
      <c r="E3" s="8" t="inlineStr">
        <is>
          <t>BEV占比(%)</t>
        </is>
      </c>
      <c r="F3" s="8" t="inlineStr">
        <is>
          <t>PHEV占比(%)</t>
        </is>
      </c>
    </row>
    <row r="4">
      <c r="A4" s="9" t="n">
        <v>2021</v>
      </c>
      <c r="B4" s="15" t="n">
        <v>498</v>
      </c>
      <c r="C4" s="15" t="n">
        <v>84</v>
      </c>
      <c r="D4" s="15" t="n">
        <v>582</v>
      </c>
      <c r="E4" s="25" t="n">
        <v>0.856</v>
      </c>
      <c r="F4" s="25" t="n">
        <v>0.144</v>
      </c>
    </row>
    <row r="5">
      <c r="A5" s="10" t="n">
        <v>2022</v>
      </c>
      <c r="B5" s="17" t="n">
        <v>441</v>
      </c>
      <c r="C5" s="17" t="n">
        <v>116</v>
      </c>
      <c r="D5" s="17" t="n">
        <v>557</v>
      </c>
      <c r="E5" s="26" t="n">
        <v>0.792</v>
      </c>
      <c r="F5" s="26" t="n">
        <v>0.208</v>
      </c>
    </row>
    <row r="6">
      <c r="A6" s="9" t="n">
        <v>2023</v>
      </c>
      <c r="B6" s="15" t="n">
        <v>663</v>
      </c>
      <c r="C6" s="15" t="n">
        <v>248</v>
      </c>
      <c r="D6" s="15" t="n">
        <v>911</v>
      </c>
      <c r="E6" s="25" t="n">
        <v>0.728</v>
      </c>
      <c r="F6" s="25" t="n">
        <v>0.272</v>
      </c>
    </row>
    <row r="7">
      <c r="A7" s="10" t="n">
        <v>2024</v>
      </c>
      <c r="B7" s="17" t="n">
        <v>771</v>
      </c>
      <c r="C7" s="17" t="n">
        <v>394</v>
      </c>
      <c r="D7" s="17" t="n">
        <v>1165</v>
      </c>
      <c r="E7" s="26" t="n">
        <v>0.662</v>
      </c>
      <c r="F7" s="26" t="n">
        <v>0.338</v>
      </c>
    </row>
    <row r="8">
      <c r="A8" s="9" t="n">
        <v>2025</v>
      </c>
      <c r="B8" s="15" t="n">
        <v>567</v>
      </c>
      <c r="C8" s="15" t="n">
        <v>566</v>
      </c>
      <c r="D8" s="15" t="n">
        <v>1133</v>
      </c>
      <c r="E8" s="25" t="n">
        <v>0.5</v>
      </c>
      <c r="F8" s="25" t="n">
        <v>0.5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BEV续航里程年度分析</t>
        </is>
      </c>
    </row>
    <row r="3">
      <c r="A3" s="8" t="inlineStr">
        <is>
          <t>年份</t>
        </is>
      </c>
      <c r="B3" s="8" t="inlineStr">
        <is>
          <t>均值(km)</t>
        </is>
      </c>
      <c r="C3" s="8" t="inlineStr">
        <is>
          <t>中位数(km)</t>
        </is>
      </c>
      <c r="D3" s="8" t="inlineStr">
        <is>
          <t>P25(km)</t>
        </is>
      </c>
      <c r="E3" s="8" t="inlineStr">
        <is>
          <t>P75(km)</t>
        </is>
      </c>
      <c r="F3" s="8" t="inlineStr">
        <is>
          <t>P90(km)</t>
        </is>
      </c>
      <c r="G3" s="8" t="inlineStr">
        <is>
          <t>样本数</t>
        </is>
      </c>
      <c r="H3" s="8" t="inlineStr">
        <is>
          <t>同比增长率(%)</t>
        </is>
      </c>
    </row>
    <row r="4">
      <c r="A4" s="9" t="n">
        <v>2021</v>
      </c>
      <c r="B4" s="16" t="n">
        <v>413.32</v>
      </c>
      <c r="C4" s="16" t="n">
        <v>415</v>
      </c>
      <c r="D4" s="16" t="n">
        <v>305</v>
      </c>
      <c r="E4" s="16" t="n">
        <v>510</v>
      </c>
      <c r="F4" s="16" t="n">
        <v>600</v>
      </c>
      <c r="G4" s="15" t="n">
        <v>482</v>
      </c>
      <c r="H4" s="9" t="inlineStr"/>
    </row>
    <row r="5">
      <c r="A5" s="10" t="n">
        <v>2022</v>
      </c>
      <c r="B5" s="18" t="n">
        <v>443.8</v>
      </c>
      <c r="C5" s="18" t="n">
        <v>460</v>
      </c>
      <c r="D5" s="18" t="n">
        <v>301</v>
      </c>
      <c r="E5" s="18" t="n">
        <v>580</v>
      </c>
      <c r="F5" s="18" t="n">
        <v>650</v>
      </c>
      <c r="G5" s="17" t="n">
        <v>426</v>
      </c>
      <c r="H5" s="18" t="n">
        <v>7.4</v>
      </c>
    </row>
    <row r="6">
      <c r="A6" s="9" t="n">
        <v>2023</v>
      </c>
      <c r="B6" s="16" t="n">
        <v>497.54</v>
      </c>
      <c r="C6" s="16" t="n">
        <v>520</v>
      </c>
      <c r="D6" s="16" t="n">
        <v>401</v>
      </c>
      <c r="E6" s="16" t="n">
        <v>610</v>
      </c>
      <c r="F6" s="16" t="n">
        <v>700</v>
      </c>
      <c r="G6" s="15" t="n">
        <v>649</v>
      </c>
      <c r="H6" s="16" t="n">
        <v>12.1</v>
      </c>
    </row>
    <row r="7">
      <c r="A7" s="10" t="n">
        <v>2024</v>
      </c>
      <c r="B7" s="18" t="n">
        <v>538.04</v>
      </c>
      <c r="C7" s="18" t="n">
        <v>550</v>
      </c>
      <c r="D7" s="18" t="n">
        <v>449.5</v>
      </c>
      <c r="E7" s="18" t="n">
        <v>635.2</v>
      </c>
      <c r="F7" s="18" t="n">
        <v>710</v>
      </c>
      <c r="G7" s="17" t="n">
        <v>748</v>
      </c>
      <c r="H7" s="18" t="n">
        <v>8.1</v>
      </c>
    </row>
    <row r="8">
      <c r="A8" s="9" t="n">
        <v>2025</v>
      </c>
      <c r="B8" s="16" t="n">
        <v>600.74</v>
      </c>
      <c r="C8" s="16" t="n">
        <v>618</v>
      </c>
      <c r="D8" s="16" t="n">
        <v>510</v>
      </c>
      <c r="E8" s="16" t="n">
        <v>710</v>
      </c>
      <c r="F8" s="16" t="n">
        <v>783.5</v>
      </c>
      <c r="G8" s="15" t="n">
        <v>496</v>
      </c>
      <c r="H8" s="16" t="n">
        <v>11.7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7757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7" t="inlineStr">
        <is>
          <t>PHEV续航里程年度分析</t>
        </is>
      </c>
    </row>
    <row r="3">
      <c r="A3" s="8" t="inlineStr">
        <is>
          <t>年份</t>
        </is>
      </c>
      <c r="B3" s="8" t="inlineStr">
        <is>
          <t>均值(km)</t>
        </is>
      </c>
      <c r="C3" s="8" t="inlineStr">
        <is>
          <t>中位数(km)</t>
        </is>
      </c>
      <c r="D3" s="8" t="inlineStr">
        <is>
          <t>P25(km)</t>
        </is>
      </c>
      <c r="E3" s="8" t="inlineStr">
        <is>
          <t>P75(km)</t>
        </is>
      </c>
      <c r="F3" s="8" t="inlineStr">
        <is>
          <t>P90(km)</t>
        </is>
      </c>
      <c r="G3" s="8" t="inlineStr">
        <is>
          <t>样本数</t>
        </is>
      </c>
      <c r="H3" s="8" t="inlineStr">
        <is>
          <t>同比增长率(%)</t>
        </is>
      </c>
    </row>
    <row r="4">
      <c r="A4" s="9" t="n">
        <v>2021</v>
      </c>
      <c r="B4" s="16" t="n">
        <v>101.55</v>
      </c>
      <c r="C4" s="16" t="n">
        <v>101</v>
      </c>
      <c r="D4" s="16" t="n">
        <v>59</v>
      </c>
      <c r="E4" s="16" t="n">
        <v>148</v>
      </c>
      <c r="F4" s="16" t="n">
        <v>148</v>
      </c>
      <c r="G4" s="15" t="n">
        <v>84</v>
      </c>
      <c r="H4" s="9" t="inlineStr"/>
    </row>
    <row r="5">
      <c r="A5" s="10" t="n">
        <v>2022</v>
      </c>
      <c r="B5" s="18" t="n">
        <v>113.23</v>
      </c>
      <c r="C5" s="18" t="n">
        <v>94</v>
      </c>
      <c r="D5" s="18" t="n">
        <v>78</v>
      </c>
      <c r="E5" s="18" t="n">
        <v>165</v>
      </c>
      <c r="F5" s="18" t="n">
        <v>189.8</v>
      </c>
      <c r="G5" s="17" t="n">
        <v>113</v>
      </c>
      <c r="H5" s="18" t="n">
        <v>11.5</v>
      </c>
    </row>
    <row r="6">
      <c r="A6" s="9" t="n">
        <v>2023</v>
      </c>
      <c r="B6" s="16" t="n">
        <v>120.38</v>
      </c>
      <c r="C6" s="16" t="n">
        <v>110.5</v>
      </c>
      <c r="D6" s="16" t="n">
        <v>83</v>
      </c>
      <c r="E6" s="16" t="n">
        <v>162.5</v>
      </c>
      <c r="F6" s="16" t="n">
        <v>175.1</v>
      </c>
      <c r="G6" s="15" t="n">
        <v>240</v>
      </c>
      <c r="H6" s="16" t="n">
        <v>6.3</v>
      </c>
    </row>
    <row r="7">
      <c r="A7" s="10" t="n">
        <v>2024</v>
      </c>
      <c r="B7" s="18" t="n">
        <v>135.4</v>
      </c>
      <c r="C7" s="18" t="n">
        <v>126</v>
      </c>
      <c r="D7" s="18" t="n">
        <v>92.5</v>
      </c>
      <c r="E7" s="18" t="n">
        <v>171</v>
      </c>
      <c r="F7" s="18" t="n">
        <v>204.4</v>
      </c>
      <c r="G7" s="17" t="n">
        <v>387</v>
      </c>
      <c r="H7" s="18" t="n">
        <v>12.5</v>
      </c>
    </row>
    <row r="8">
      <c r="A8" s="9" t="n">
        <v>2025</v>
      </c>
      <c r="B8" s="16" t="n">
        <v>175.13</v>
      </c>
      <c r="C8" s="16" t="n">
        <v>160</v>
      </c>
      <c r="D8" s="16" t="n">
        <v>116</v>
      </c>
      <c r="E8" s="16" t="n">
        <v>205</v>
      </c>
      <c r="F8" s="16" t="n">
        <v>300</v>
      </c>
      <c r="G8" s="15" t="n">
        <v>484</v>
      </c>
      <c r="H8" s="16" t="n">
        <v>29.4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 vs PHEV 续航对比</t>
        </is>
      </c>
    </row>
    <row r="3">
      <c r="A3" s="8" t="inlineStr">
        <is>
          <t>年份</t>
        </is>
      </c>
      <c r="B3" s="8" t="inlineStr">
        <is>
          <t>BEV均值(km)</t>
        </is>
      </c>
      <c r="C3" s="8" t="inlineStr">
        <is>
          <t>PHEV均值(km)</t>
        </is>
      </c>
      <c r="D3" s="8" t="inlineStr">
        <is>
          <t>差值(km)</t>
        </is>
      </c>
      <c r="E3" s="8" t="inlineStr">
        <is>
          <t>BEV/PHEV比值</t>
        </is>
      </c>
    </row>
    <row r="4">
      <c r="A4" s="9" t="n">
        <v>2021</v>
      </c>
      <c r="B4" s="16" t="n">
        <v>413.32</v>
      </c>
      <c r="C4" s="16" t="n">
        <v>101.55</v>
      </c>
      <c r="D4" s="16" t="n">
        <v>311.77</v>
      </c>
      <c r="E4" s="19" t="n">
        <v>4.07</v>
      </c>
    </row>
    <row r="5">
      <c r="A5" s="10" t="n">
        <v>2022</v>
      </c>
      <c r="B5" s="18" t="n">
        <v>443.8</v>
      </c>
      <c r="C5" s="18" t="n">
        <v>113.23</v>
      </c>
      <c r="D5" s="18" t="n">
        <v>330.57</v>
      </c>
      <c r="E5" s="20" t="n">
        <v>3.92</v>
      </c>
    </row>
    <row r="6">
      <c r="A6" s="9" t="n">
        <v>2023</v>
      </c>
      <c r="B6" s="16" t="n">
        <v>497.54</v>
      </c>
      <c r="C6" s="16" t="n">
        <v>120.38</v>
      </c>
      <c r="D6" s="16" t="n">
        <v>377.16</v>
      </c>
      <c r="E6" s="19" t="n">
        <v>4.13</v>
      </c>
    </row>
    <row r="7">
      <c r="A7" s="10" t="n">
        <v>2024</v>
      </c>
      <c r="B7" s="18" t="n">
        <v>538.04</v>
      </c>
      <c r="C7" s="18" t="n">
        <v>135.4</v>
      </c>
      <c r="D7" s="18" t="n">
        <v>402.64</v>
      </c>
      <c r="E7" s="20" t="n">
        <v>3.97</v>
      </c>
    </row>
    <row r="8">
      <c r="A8" s="9" t="n">
        <v>2025</v>
      </c>
      <c r="B8" s="16" t="n">
        <v>600.74</v>
      </c>
      <c r="C8" s="16" t="n">
        <v>175.13</v>
      </c>
      <c r="D8" s="16" t="n">
        <v>425.61</v>
      </c>
      <c r="E8" s="19" t="n">
        <v>3.43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9A961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电池容量年度分析</t>
        </is>
      </c>
    </row>
    <row r="3">
      <c r="A3" s="8" t="inlineStr">
        <is>
          <t>年份</t>
        </is>
      </c>
      <c r="B3" s="8" t="inlineStr">
        <is>
          <t>BEV均值(kWh)</t>
        </is>
      </c>
      <c r="C3" s="8" t="inlineStr">
        <is>
          <t>PHEV均值(kWh)</t>
        </is>
      </c>
      <c r="D3" s="8" t="inlineStr">
        <is>
          <t>BEV同比增长(%)</t>
        </is>
      </c>
      <c r="E3" s="8" t="inlineStr">
        <is>
          <t>PHEV同比增长(%)</t>
        </is>
      </c>
    </row>
    <row r="4">
      <c r="A4" s="9" t="n">
        <v>2021</v>
      </c>
      <c r="B4" s="19" t="n">
        <v>54.12</v>
      </c>
      <c r="C4" s="19" t="n">
        <v>22.08</v>
      </c>
      <c r="D4" s="9" t="inlineStr"/>
      <c r="E4" s="9" t="inlineStr"/>
    </row>
    <row r="5">
      <c r="A5" s="10" t="n">
        <v>2022</v>
      </c>
      <c r="B5" s="20" t="n">
        <v>58.03</v>
      </c>
      <c r="C5" s="20" t="n">
        <v>25.82</v>
      </c>
      <c r="D5" s="18" t="n">
        <v>7.2</v>
      </c>
      <c r="E5" s="18" t="n">
        <v>16.9</v>
      </c>
    </row>
    <row r="6">
      <c r="A6" s="9" t="n">
        <v>2023</v>
      </c>
      <c r="B6" s="19" t="n">
        <v>65.59</v>
      </c>
      <c r="C6" s="19" t="n">
        <v>26.97</v>
      </c>
      <c r="D6" s="16" t="n">
        <v>13</v>
      </c>
      <c r="E6" s="16" t="n">
        <v>4.5</v>
      </c>
    </row>
    <row r="7">
      <c r="A7" s="10" t="n">
        <v>2024</v>
      </c>
      <c r="B7" s="20" t="n">
        <v>68.59</v>
      </c>
      <c r="C7" s="20" t="n">
        <v>28.79</v>
      </c>
      <c r="D7" s="18" t="n">
        <v>4.6</v>
      </c>
      <c r="E7" s="18" t="n">
        <v>6.8</v>
      </c>
    </row>
    <row r="8">
      <c r="A8" s="9" t="n">
        <v>2025</v>
      </c>
      <c r="B8" s="19" t="n">
        <v>72.39</v>
      </c>
      <c r="C8" s="19" t="n">
        <v>37.13</v>
      </c>
      <c r="D8" s="16" t="n">
        <v>5.5</v>
      </c>
      <c r="E8" s="16" t="n">
        <v>28.9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9A961"/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BEV电池容量分布</t>
        </is>
      </c>
    </row>
    <row r="3">
      <c r="A3" s="8" t="inlineStr">
        <is>
          <t>容量区间(kWh)</t>
        </is>
      </c>
      <c r="B3" s="8" t="inlineStr">
        <is>
          <t>数量</t>
        </is>
      </c>
    </row>
    <row r="4">
      <c r="A4" s="9" t="inlineStr">
        <is>
          <t>10-20</t>
        </is>
      </c>
      <c r="B4" s="15" t="n">
        <v>219</v>
      </c>
    </row>
    <row r="5">
      <c r="A5" s="10" t="inlineStr">
        <is>
          <t>20-30</t>
        </is>
      </c>
      <c r="B5" s="17" t="n">
        <v>80</v>
      </c>
    </row>
    <row r="6">
      <c r="A6" s="9" t="inlineStr">
        <is>
          <t>30-40</t>
        </is>
      </c>
      <c r="B6" s="15" t="n">
        <v>167</v>
      </c>
    </row>
    <row r="7">
      <c r="A7" s="10" t="inlineStr">
        <is>
          <t>40-50</t>
        </is>
      </c>
      <c r="B7" s="17" t="n">
        <v>263</v>
      </c>
    </row>
    <row r="8">
      <c r="A8" s="9" t="inlineStr">
        <is>
          <t>50-60</t>
        </is>
      </c>
      <c r="B8" s="15" t="n">
        <v>401</v>
      </c>
    </row>
    <row r="9">
      <c r="A9" s="10" t="inlineStr">
        <is>
          <t>60-70</t>
        </is>
      </c>
      <c r="B9" s="17" t="n">
        <v>482</v>
      </c>
    </row>
    <row r="10">
      <c r="A10" s="9" t="inlineStr">
        <is>
          <t>70-80</t>
        </is>
      </c>
      <c r="B10" s="15" t="n">
        <v>395</v>
      </c>
    </row>
    <row r="11">
      <c r="A11" s="10" t="inlineStr">
        <is>
          <t>80-90</t>
        </is>
      </c>
      <c r="B11" s="17" t="n">
        <v>298</v>
      </c>
    </row>
    <row r="12">
      <c r="A12" s="9" t="inlineStr">
        <is>
          <t>90-100</t>
        </is>
      </c>
      <c r="B12" s="15" t="n">
        <v>227</v>
      </c>
    </row>
    <row r="13">
      <c r="A13" s="10" t="inlineStr">
        <is>
          <t>100-110</t>
        </is>
      </c>
      <c r="B13" s="17" t="n">
        <v>177</v>
      </c>
    </row>
    <row r="14">
      <c r="A14" s="9" t="inlineStr">
        <is>
          <t>110-120</t>
        </is>
      </c>
      <c r="B14" s="15" t="n">
        <v>57</v>
      </c>
    </row>
    <row r="17">
      <c r="A17" s="7" t="inlineStr">
        <is>
          <t>统计量</t>
        </is>
      </c>
    </row>
    <row r="19">
      <c r="A19" s="11" t="inlineStr">
        <is>
          <t>均值</t>
        </is>
      </c>
      <c r="B19" s="12" t="n">
        <v>64.47</v>
      </c>
      <c r="C19" s="13" t="n"/>
      <c r="D19" s="13" t="n"/>
      <c r="E19" s="13" t="n"/>
      <c r="F19" s="14" t="n"/>
    </row>
    <row r="20">
      <c r="A20" s="11" t="inlineStr">
        <is>
          <t>中位数</t>
        </is>
      </c>
      <c r="B20" s="12" t="n">
        <v>65</v>
      </c>
      <c r="C20" s="13" t="n"/>
      <c r="D20" s="13" t="n"/>
      <c r="E20" s="13" t="n"/>
      <c r="F20" s="14" t="n"/>
    </row>
    <row r="21">
      <c r="A21" s="11" t="inlineStr">
        <is>
          <t>P25</t>
        </is>
      </c>
      <c r="B21" s="12" t="n">
        <v>49.21</v>
      </c>
      <c r="C21" s="13" t="n"/>
      <c r="D21" s="13" t="n"/>
      <c r="E21" s="13" t="n"/>
      <c r="F21" s="14" t="n"/>
    </row>
    <row r="22">
      <c r="A22" s="11" t="inlineStr">
        <is>
          <t>P75</t>
        </is>
      </c>
      <c r="B22" s="12" t="n">
        <v>81.08</v>
      </c>
      <c r="C22" s="13" t="n"/>
      <c r="D22" s="13" t="n"/>
      <c r="E22" s="13" t="n"/>
      <c r="F22" s="14" t="n"/>
    </row>
  </sheetData>
  <mergeCells count="6">
    <mergeCell ref="B21:F21"/>
    <mergeCell ref="B20:F20"/>
    <mergeCell ref="B19:F19"/>
    <mergeCell ref="A1:E1"/>
    <mergeCell ref="A17:F17"/>
    <mergeCell ref="B22:F2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9A961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PHEV电池容量分布</t>
        </is>
      </c>
    </row>
    <row r="3">
      <c r="A3" s="8" t="inlineStr">
        <is>
          <t>容量区间(kWh)</t>
        </is>
      </c>
      <c r="B3" s="8" t="inlineStr">
        <is>
          <t>数量</t>
        </is>
      </c>
    </row>
    <row r="4">
      <c r="A4" s="9" t="inlineStr">
        <is>
          <t>0-10</t>
        </is>
      </c>
      <c r="B4" s="15" t="n">
        <v>68</v>
      </c>
    </row>
    <row r="5">
      <c r="A5" s="10" t="inlineStr">
        <is>
          <t>10-20</t>
        </is>
      </c>
      <c r="B5" s="17" t="n">
        <v>362</v>
      </c>
    </row>
    <row r="6">
      <c r="A6" s="9" t="inlineStr">
        <is>
          <t>20-30</t>
        </is>
      </c>
      <c r="B6" s="15" t="n">
        <v>233</v>
      </c>
    </row>
    <row r="7">
      <c r="A7" s="10" t="inlineStr">
        <is>
          <t>30-40</t>
        </is>
      </c>
      <c r="B7" s="17" t="n">
        <v>347</v>
      </c>
    </row>
    <row r="8">
      <c r="A8" s="9" t="inlineStr">
        <is>
          <t>40-50</t>
        </is>
      </c>
      <c r="B8" s="15" t="n">
        <v>177</v>
      </c>
    </row>
    <row r="9">
      <c r="A9" s="10" t="inlineStr">
        <is>
          <t>50-60</t>
        </is>
      </c>
      <c r="B9" s="17" t="n">
        <v>81</v>
      </c>
    </row>
    <row r="10">
      <c r="A10" s="9" t="inlineStr">
        <is>
          <t>60-70</t>
        </is>
      </c>
      <c r="B10" s="15" t="n">
        <v>42</v>
      </c>
    </row>
    <row r="13">
      <c r="A13" s="7" t="inlineStr">
        <is>
          <t>统计量</t>
        </is>
      </c>
    </row>
    <row r="15">
      <c r="A15" s="11" t="inlineStr">
        <is>
          <t>均值</t>
        </is>
      </c>
      <c r="B15" s="12" t="n">
        <v>30.96</v>
      </c>
      <c r="C15" s="13" t="n"/>
      <c r="D15" s="13" t="n"/>
      <c r="E15" s="13" t="n"/>
      <c r="F15" s="14" t="n"/>
    </row>
    <row r="16">
      <c r="A16" s="11" t="inlineStr">
        <is>
          <t>中位数</t>
        </is>
      </c>
      <c r="B16" s="12" t="n">
        <v>30.1</v>
      </c>
      <c r="C16" s="13" t="n"/>
      <c r="D16" s="13" t="n"/>
      <c r="E16" s="13" t="n"/>
      <c r="F16" s="14" t="n"/>
    </row>
    <row r="17">
      <c r="A17" s="11" t="inlineStr">
        <is>
          <t>P25</t>
        </is>
      </c>
      <c r="B17" s="12" t="n">
        <v>18.83</v>
      </c>
      <c r="C17" s="13" t="n"/>
      <c r="D17" s="13" t="n"/>
      <c r="E17" s="13" t="n"/>
      <c r="F17" s="14" t="n"/>
    </row>
    <row r="18">
      <c r="A18" s="11" t="inlineStr">
        <is>
          <t>P75</t>
        </is>
      </c>
      <c r="B18" s="12" t="n">
        <v>39.9</v>
      </c>
      <c r="C18" s="13" t="n"/>
      <c r="D18" s="13" t="n"/>
      <c r="E18" s="13" t="n"/>
      <c r="F18" s="14" t="n"/>
    </row>
  </sheetData>
  <mergeCells count="6">
    <mergeCell ref="A13:F13"/>
    <mergeCell ref="B16:F16"/>
    <mergeCell ref="B15:F15"/>
    <mergeCell ref="A1:E1"/>
    <mergeCell ref="B17:F17"/>
    <mergeCell ref="B18:F18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2A9D8F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BEV电池类型趋势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钠离子</t>
        </is>
      </c>
      <c r="G3" s="8" t="inlineStr">
        <is>
          <t>锰酸锂</t>
        </is>
      </c>
    </row>
    <row r="4">
      <c r="A4" s="9" t="n">
        <v>2021</v>
      </c>
      <c r="B4" s="15" t="n">
        <v>250</v>
      </c>
      <c r="C4" s="15" t="n">
        <v>222</v>
      </c>
      <c r="D4" s="15" t="n">
        <v>15</v>
      </c>
      <c r="E4" s="15" t="n">
        <v>10</v>
      </c>
      <c r="F4" s="15" t="n">
        <v>0</v>
      </c>
      <c r="G4" s="15" t="n">
        <v>1</v>
      </c>
    </row>
    <row r="5">
      <c r="A5" s="10" t="n">
        <v>2022</v>
      </c>
      <c r="B5" s="17" t="n">
        <v>180</v>
      </c>
      <c r="C5" s="17" t="n">
        <v>190</v>
      </c>
      <c r="D5" s="17" t="n">
        <v>10</v>
      </c>
      <c r="E5" s="17" t="n">
        <v>61</v>
      </c>
      <c r="F5" s="17" t="n">
        <v>0</v>
      </c>
      <c r="G5" s="17" t="n">
        <v>0</v>
      </c>
    </row>
    <row r="6">
      <c r="A6" s="9" t="n">
        <v>2023</v>
      </c>
      <c r="B6" s="15" t="n">
        <v>268</v>
      </c>
      <c r="C6" s="15" t="n">
        <v>267</v>
      </c>
      <c r="D6" s="15" t="n">
        <v>4</v>
      </c>
      <c r="E6" s="15" t="n">
        <v>121</v>
      </c>
      <c r="F6" s="15" t="n">
        <v>3</v>
      </c>
      <c r="G6" s="15" t="n">
        <v>0</v>
      </c>
    </row>
    <row r="7">
      <c r="A7" s="10" t="n">
        <v>2024</v>
      </c>
      <c r="B7" s="17" t="n">
        <v>203</v>
      </c>
      <c r="C7" s="17" t="n">
        <v>498</v>
      </c>
      <c r="D7" s="17" t="n">
        <v>6</v>
      </c>
      <c r="E7" s="17" t="n">
        <v>64</v>
      </c>
      <c r="F7" s="17" t="n">
        <v>0</v>
      </c>
      <c r="G7" s="17" t="n">
        <v>0</v>
      </c>
    </row>
    <row r="8">
      <c r="A8" s="9" t="n">
        <v>2025</v>
      </c>
      <c r="B8" s="15" t="n">
        <v>99</v>
      </c>
      <c r="C8" s="15" t="n">
        <v>372</v>
      </c>
      <c r="D8" s="15" t="n">
        <v>13</v>
      </c>
      <c r="E8" s="15" t="n">
        <v>83</v>
      </c>
      <c r="F8" s="15" t="n">
        <v>0</v>
      </c>
      <c r="G8" s="15" t="n">
        <v>0</v>
      </c>
    </row>
    <row r="11">
      <c r="A11" s="7" t="inlineStr">
        <is>
          <t>BEV电池类型趋势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钠离子(%)</t>
        </is>
      </c>
      <c r="G13" s="8" t="inlineStr">
        <is>
          <t>锰酸锂(%)</t>
        </is>
      </c>
    </row>
    <row r="14">
      <c r="A14" s="9" t="n">
        <v>2021</v>
      </c>
      <c r="B14" s="25" t="n">
        <v>0.502</v>
      </c>
      <c r="C14" s="25" t="n">
        <v>0.446</v>
      </c>
      <c r="D14" s="25" t="n">
        <v>0.03</v>
      </c>
      <c r="E14" s="25" t="n">
        <v>0.02</v>
      </c>
      <c r="F14" s="16" t="n">
        <v>0</v>
      </c>
      <c r="G14" s="16" t="n">
        <v>0.2</v>
      </c>
    </row>
    <row r="15">
      <c r="A15" s="10" t="n">
        <v>2022</v>
      </c>
      <c r="B15" s="26" t="n">
        <v>0.408</v>
      </c>
      <c r="C15" s="26" t="n">
        <v>0.431</v>
      </c>
      <c r="D15" s="26" t="n">
        <v>0.023</v>
      </c>
      <c r="E15" s="26" t="n">
        <v>0.138</v>
      </c>
      <c r="F15" s="18" t="n">
        <v>0</v>
      </c>
      <c r="G15" s="18" t="n">
        <v>0</v>
      </c>
    </row>
    <row r="16">
      <c r="A16" s="9" t="n">
        <v>2023</v>
      </c>
      <c r="B16" s="25" t="n">
        <v>0.404</v>
      </c>
      <c r="C16" s="25" t="n">
        <v>0.403</v>
      </c>
      <c r="D16" s="16" t="n">
        <v>0.6</v>
      </c>
      <c r="E16" s="25" t="n">
        <v>0.183</v>
      </c>
      <c r="F16" s="16" t="n">
        <v>0.5</v>
      </c>
      <c r="G16" s="16" t="n">
        <v>0</v>
      </c>
    </row>
    <row r="17">
      <c r="A17" s="10" t="n">
        <v>2024</v>
      </c>
      <c r="B17" s="26" t="n">
        <v>0.263</v>
      </c>
      <c r="C17" s="26" t="n">
        <v>0.6459999999999999</v>
      </c>
      <c r="D17" s="18" t="n">
        <v>0.8</v>
      </c>
      <c r="E17" s="26" t="n">
        <v>0.083</v>
      </c>
      <c r="F17" s="18" t="n">
        <v>0</v>
      </c>
      <c r="G17" s="18" t="n">
        <v>0</v>
      </c>
    </row>
    <row r="18">
      <c r="A18" s="9" t="n">
        <v>2025</v>
      </c>
      <c r="B18" s="16" t="n">
        <v>17.5</v>
      </c>
      <c r="C18" s="16" t="n">
        <v>65.59999999999999</v>
      </c>
      <c r="D18" s="16" t="n">
        <v>2.3</v>
      </c>
      <c r="E18" s="16" t="n">
        <v>14.6</v>
      </c>
      <c r="F18" s="16" t="n">
        <v>0</v>
      </c>
      <c r="G18" s="16" t="n">
        <v>0</v>
      </c>
    </row>
  </sheetData>
  <mergeCells count="2">
    <mergeCell ref="A11:G11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2A9D8F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PHEV电池类型趋势 - 数量趋势</t>
        </is>
      </c>
    </row>
    <row r="3">
      <c r="A3" s="8" t="inlineStr">
        <is>
          <t>年份</t>
        </is>
      </c>
      <c r="B3" s="8" t="inlineStr">
        <is>
          <t>三元锂</t>
        </is>
      </c>
      <c r="C3" s="8" t="inlineStr">
        <is>
          <t>磷酸铁锂</t>
        </is>
      </c>
      <c r="D3" s="8" t="inlineStr">
        <is>
          <t>其他锂离子</t>
        </is>
      </c>
      <c r="E3" s="8" t="inlineStr">
        <is>
          <t>未知</t>
        </is>
      </c>
      <c r="F3" s="8" t="inlineStr">
        <is>
          <t>其他</t>
        </is>
      </c>
    </row>
    <row r="4">
      <c r="A4" s="9" t="n">
        <v>2021</v>
      </c>
      <c r="B4" s="15" t="n">
        <v>48</v>
      </c>
      <c r="C4" s="15" t="n">
        <v>36</v>
      </c>
      <c r="D4" s="15" t="n">
        <v>0</v>
      </c>
      <c r="E4" s="15" t="n">
        <v>0</v>
      </c>
      <c r="F4" s="15" t="n">
        <v>0</v>
      </c>
    </row>
    <row r="5">
      <c r="A5" s="10" t="n">
        <v>2022</v>
      </c>
      <c r="B5" s="17" t="n">
        <v>60</v>
      </c>
      <c r="C5" s="17" t="n">
        <v>33</v>
      </c>
      <c r="D5" s="17" t="n">
        <v>7</v>
      </c>
      <c r="E5" s="17" t="n">
        <v>6</v>
      </c>
      <c r="F5" s="17" t="n">
        <v>10</v>
      </c>
    </row>
    <row r="6">
      <c r="A6" s="9" t="n">
        <v>2023</v>
      </c>
      <c r="B6" s="15" t="n">
        <v>119</v>
      </c>
      <c r="C6" s="15" t="n">
        <v>114</v>
      </c>
      <c r="D6" s="15" t="n">
        <v>7</v>
      </c>
      <c r="E6" s="15" t="n">
        <v>8</v>
      </c>
      <c r="F6" s="15" t="n">
        <v>0</v>
      </c>
    </row>
    <row r="7">
      <c r="A7" s="10" t="n">
        <v>2024</v>
      </c>
      <c r="B7" s="17" t="n">
        <v>92</v>
      </c>
      <c r="C7" s="17" t="n">
        <v>287</v>
      </c>
      <c r="D7" s="17" t="n">
        <v>0</v>
      </c>
      <c r="E7" s="17" t="n">
        <v>15</v>
      </c>
      <c r="F7" s="17" t="n">
        <v>0</v>
      </c>
    </row>
    <row r="8">
      <c r="A8" s="9" t="n">
        <v>2025</v>
      </c>
      <c r="B8" s="15" t="n">
        <v>94</v>
      </c>
      <c r="C8" s="15" t="n">
        <v>397</v>
      </c>
      <c r="D8" s="15" t="n">
        <v>4</v>
      </c>
      <c r="E8" s="15" t="n">
        <v>51</v>
      </c>
      <c r="F8" s="15" t="n">
        <v>20</v>
      </c>
    </row>
    <row r="11">
      <c r="A11" s="7" t="inlineStr">
        <is>
          <t>PHEV电池类型趋势 - 占比趋势(%)</t>
        </is>
      </c>
    </row>
    <row r="13">
      <c r="A13" s="8" t="inlineStr">
        <is>
          <t>年份</t>
        </is>
      </c>
      <c r="B13" s="8" t="inlineStr">
        <is>
          <t>三元锂(%)</t>
        </is>
      </c>
      <c r="C13" s="8" t="inlineStr">
        <is>
          <t>磷酸铁锂(%)</t>
        </is>
      </c>
      <c r="D13" s="8" t="inlineStr">
        <is>
          <t>其他锂离子(%)</t>
        </is>
      </c>
      <c r="E13" s="8" t="inlineStr">
        <is>
          <t>未知(%)</t>
        </is>
      </c>
      <c r="F13" s="8" t="inlineStr">
        <is>
          <t>其他(%)</t>
        </is>
      </c>
    </row>
    <row r="14">
      <c r="A14" s="9" t="n">
        <v>2021</v>
      </c>
      <c r="B14" s="25" t="n">
        <v>0.5710000000000001</v>
      </c>
      <c r="C14" s="25" t="n">
        <v>0.429</v>
      </c>
      <c r="D14" s="16" t="n">
        <v>0</v>
      </c>
      <c r="E14" s="16" t="n">
        <v>0</v>
      </c>
      <c r="F14" s="16" t="n">
        <v>0</v>
      </c>
    </row>
    <row r="15">
      <c r="A15" s="10" t="n">
        <v>2022</v>
      </c>
      <c r="B15" s="26" t="n">
        <v>0.517</v>
      </c>
      <c r="C15" s="26" t="n">
        <v>0.284</v>
      </c>
      <c r="D15" s="26" t="n">
        <v>0.06</v>
      </c>
      <c r="E15" s="26" t="n">
        <v>0.052</v>
      </c>
      <c r="F15" s="26" t="n">
        <v>0.08599999999999999</v>
      </c>
    </row>
    <row r="16">
      <c r="A16" s="9" t="n">
        <v>2023</v>
      </c>
      <c r="B16" s="25" t="n">
        <v>0.48</v>
      </c>
      <c r="C16" s="25" t="n">
        <v>0.46</v>
      </c>
      <c r="D16" s="25" t="n">
        <v>0.028</v>
      </c>
      <c r="E16" s="25" t="n">
        <v>0.032</v>
      </c>
      <c r="F16" s="16" t="n">
        <v>0</v>
      </c>
    </row>
    <row r="17">
      <c r="A17" s="10" t="n">
        <v>2024</v>
      </c>
      <c r="B17" s="26" t="n">
        <v>0.234</v>
      </c>
      <c r="C17" s="26" t="n">
        <v>0.728</v>
      </c>
      <c r="D17" s="18" t="n">
        <v>0</v>
      </c>
      <c r="E17" s="26" t="n">
        <v>0.038</v>
      </c>
      <c r="F17" s="18" t="n">
        <v>0</v>
      </c>
    </row>
    <row r="18">
      <c r="A18" s="9" t="n">
        <v>2025</v>
      </c>
      <c r="B18" s="16" t="n">
        <v>16.6</v>
      </c>
      <c r="C18" s="16" t="n">
        <v>70.09999999999999</v>
      </c>
      <c r="D18" s="16" t="n">
        <v>0.7</v>
      </c>
      <c r="E18" s="16" t="n">
        <v>9</v>
      </c>
      <c r="F18" s="16" t="n">
        <v>3.5</v>
      </c>
    </row>
  </sheetData>
  <mergeCells count="2">
    <mergeCell ref="A11:F11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电池能量密度年度趋势</t>
        </is>
      </c>
    </row>
    <row r="3">
      <c r="A3" s="8" t="inlineStr">
        <is>
          <t>年份</t>
        </is>
      </c>
      <c r="B3" s="8" t="inlineStr">
        <is>
          <t>BEV均值(Wh/kg)</t>
        </is>
      </c>
      <c r="C3" s="8" t="inlineStr">
        <is>
          <t>PHEV均值(Wh/kg)</t>
        </is>
      </c>
    </row>
    <row r="4">
      <c r="A4" s="9" t="n">
        <v>2021</v>
      </c>
      <c r="B4" s="16" t="n">
        <v>150.06</v>
      </c>
      <c r="C4" s="16" t="n">
        <v>118.55</v>
      </c>
    </row>
    <row r="5">
      <c r="A5" s="10" t="n">
        <v>2022</v>
      </c>
      <c r="B5" s="18" t="n">
        <v>152.42</v>
      </c>
      <c r="C5" s="18" t="n">
        <v>127.74</v>
      </c>
    </row>
    <row r="6">
      <c r="A6" s="9" t="n">
        <v>2023</v>
      </c>
      <c r="B6" s="16" t="n">
        <v>157.93</v>
      </c>
      <c r="C6" s="16" t="n">
        <v>128.85</v>
      </c>
    </row>
    <row r="7">
      <c r="A7" s="10" t="n">
        <v>2024</v>
      </c>
      <c r="B7" s="18" t="n">
        <v>145.82</v>
      </c>
      <c r="C7" s="18" t="n">
        <v>122.73</v>
      </c>
    </row>
    <row r="8">
      <c r="A8" s="9" t="n">
        <v>2025</v>
      </c>
      <c r="B8" s="16" t="n">
        <v>162.02</v>
      </c>
      <c r="C8" s="16" t="n">
        <v>142.41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D9775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BEV续航里程分布</t>
        </is>
      </c>
    </row>
    <row r="3">
      <c r="A3" s="8" t="inlineStr">
        <is>
          <t>续航区间(km)</t>
        </is>
      </c>
      <c r="B3" s="8" t="inlineStr">
        <is>
          <t>数量</t>
        </is>
      </c>
    </row>
    <row r="4">
      <c r="A4" s="9" t="inlineStr">
        <is>
          <t>100-150</t>
        </is>
      </c>
      <c r="B4" s="15" t="n">
        <v>45</v>
      </c>
    </row>
    <row r="5">
      <c r="A5" s="10" t="inlineStr">
        <is>
          <t>150-200</t>
        </is>
      </c>
      <c r="B5" s="17" t="n">
        <v>82</v>
      </c>
    </row>
    <row r="6">
      <c r="A6" s="9" t="inlineStr">
        <is>
          <t>200-250</t>
        </is>
      </c>
      <c r="B6" s="15" t="n">
        <v>120</v>
      </c>
    </row>
    <row r="7">
      <c r="A7" s="10" t="inlineStr">
        <is>
          <t>250-300</t>
        </is>
      </c>
      <c r="B7" s="17" t="n">
        <v>65</v>
      </c>
    </row>
    <row r="8">
      <c r="A8" s="9" t="inlineStr">
        <is>
          <t>300-350</t>
        </is>
      </c>
      <c r="B8" s="15" t="n">
        <v>219</v>
      </c>
    </row>
    <row r="9">
      <c r="A9" s="10" t="inlineStr">
        <is>
          <t>350-400</t>
        </is>
      </c>
      <c r="B9" s="17" t="n">
        <v>48</v>
      </c>
    </row>
    <row r="10">
      <c r="A10" s="9" t="inlineStr">
        <is>
          <t>400-450</t>
        </is>
      </c>
      <c r="B10" s="15" t="n">
        <v>409</v>
      </c>
    </row>
    <row r="11">
      <c r="A11" s="10" t="inlineStr">
        <is>
          <t>450-500</t>
        </is>
      </c>
      <c r="B11" s="17" t="n">
        <v>136</v>
      </c>
    </row>
    <row r="12">
      <c r="A12" s="9" t="inlineStr">
        <is>
          <t>500-550</t>
        </is>
      </c>
      <c r="B12" s="15" t="n">
        <v>483</v>
      </c>
    </row>
    <row r="13">
      <c r="A13" s="10" t="inlineStr">
        <is>
          <t>550-600</t>
        </is>
      </c>
      <c r="B13" s="17" t="n">
        <v>255</v>
      </c>
    </row>
    <row r="14">
      <c r="A14" s="9" t="inlineStr">
        <is>
          <t>600-650</t>
        </is>
      </c>
      <c r="B14" s="15" t="n">
        <v>373</v>
      </c>
    </row>
    <row r="15">
      <c r="A15" s="10" t="inlineStr">
        <is>
          <t>650-700</t>
        </is>
      </c>
      <c r="B15" s="17" t="n">
        <v>192</v>
      </c>
    </row>
    <row r="16">
      <c r="A16" s="9" t="inlineStr">
        <is>
          <t>700-750</t>
        </is>
      </c>
      <c r="B16" s="15" t="n">
        <v>216</v>
      </c>
    </row>
    <row r="17">
      <c r="A17" s="10" t="inlineStr">
        <is>
          <t>750-800</t>
        </is>
      </c>
      <c r="B17" s="17" t="n">
        <v>69</v>
      </c>
    </row>
    <row r="18">
      <c r="A18" s="9" t="inlineStr">
        <is>
          <t>800-850</t>
        </is>
      </c>
      <c r="B18" s="15" t="n">
        <v>48</v>
      </c>
    </row>
    <row r="19">
      <c r="A19" s="10" t="inlineStr">
        <is>
          <t>850-900</t>
        </is>
      </c>
      <c r="B19" s="17" t="n">
        <v>41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D97757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7" t="inlineStr">
        <is>
          <t>PHEV续航里程分布</t>
        </is>
      </c>
    </row>
    <row r="3">
      <c r="A3" s="8" t="inlineStr">
        <is>
          <t>续航区间(km)</t>
        </is>
      </c>
      <c r="B3" s="8" t="inlineStr">
        <is>
          <t>数量</t>
        </is>
      </c>
    </row>
    <row r="4">
      <c r="A4" s="9" t="inlineStr">
        <is>
          <t>25-50</t>
        </is>
      </c>
      <c r="B4" s="15" t="n">
        <v>60</v>
      </c>
    </row>
    <row r="5">
      <c r="A5" s="10" t="inlineStr">
        <is>
          <t>50-75</t>
        </is>
      </c>
      <c r="B5" s="17" t="n">
        <v>68</v>
      </c>
    </row>
    <row r="6">
      <c r="A6" s="9" t="inlineStr">
        <is>
          <t>75-100</t>
        </is>
      </c>
      <c r="B6" s="15" t="n">
        <v>188</v>
      </c>
    </row>
    <row r="7">
      <c r="A7" s="10" t="inlineStr">
        <is>
          <t>100-125</t>
        </is>
      </c>
      <c r="B7" s="17" t="n">
        <v>281</v>
      </c>
    </row>
    <row r="8">
      <c r="A8" s="9" t="inlineStr">
        <is>
          <t>125-150</t>
        </is>
      </c>
      <c r="B8" s="15" t="n">
        <v>126</v>
      </c>
    </row>
    <row r="9">
      <c r="A9" s="10" t="inlineStr">
        <is>
          <t>150-175</t>
        </is>
      </c>
      <c r="B9" s="17" t="n">
        <v>245</v>
      </c>
    </row>
    <row r="10">
      <c r="A10" s="9" t="inlineStr">
        <is>
          <t>175-200</t>
        </is>
      </c>
      <c r="B10" s="15" t="n">
        <v>131</v>
      </c>
    </row>
    <row r="11">
      <c r="A11" s="10" t="inlineStr">
        <is>
          <t>200-225</t>
        </is>
      </c>
      <c r="B11" s="17" t="n">
        <v>83</v>
      </c>
    </row>
    <row r="12">
      <c r="A12" s="9" t="inlineStr">
        <is>
          <t>225-250</t>
        </is>
      </c>
      <c r="B12" s="15" t="n">
        <v>33</v>
      </c>
    </row>
    <row r="13">
      <c r="A13" s="10" t="inlineStr">
        <is>
          <t>250-275</t>
        </is>
      </c>
      <c r="B13" s="17" t="n">
        <v>18</v>
      </c>
    </row>
    <row r="14">
      <c r="A14" s="9" t="inlineStr">
        <is>
          <t>275-300</t>
        </is>
      </c>
      <c r="B14" s="15" t="n">
        <v>20</v>
      </c>
    </row>
    <row r="15">
      <c r="A15" s="10" t="inlineStr">
        <is>
          <t>300-325</t>
        </is>
      </c>
      <c r="B15" s="17" t="n">
        <v>21</v>
      </c>
    </row>
    <row r="16">
      <c r="A16" s="9" t="inlineStr">
        <is>
          <t>325-350</t>
        </is>
      </c>
      <c r="B16" s="15" t="n">
        <v>18</v>
      </c>
    </row>
    <row r="17">
      <c r="A17" s="10" t="inlineStr">
        <is>
          <t>350-375</t>
        </is>
      </c>
      <c r="B17" s="17" t="n">
        <v>16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7" t="inlineStr">
        <is>
          <t>电机功率年度分析</t>
        </is>
      </c>
    </row>
    <row r="3">
      <c r="A3" s="8" t="inlineStr">
        <is>
          <t>年份</t>
        </is>
      </c>
      <c r="B3" s="8" t="inlineStr">
        <is>
          <t>BEV均值(kW)</t>
        </is>
      </c>
      <c r="C3" s="8" t="inlineStr">
        <is>
          <t>PHEV均值(kW)</t>
        </is>
      </c>
      <c r="D3" s="8" t="inlineStr">
        <is>
          <t>BEV同比增长(%)</t>
        </is>
      </c>
      <c r="E3" s="8" t="inlineStr">
        <is>
          <t>PHEV同比增长(%)</t>
        </is>
      </c>
    </row>
    <row r="4">
      <c r="A4" s="9" t="n">
        <v>2021</v>
      </c>
      <c r="B4" s="16" t="n">
        <v>139.47</v>
      </c>
      <c r="C4" s="16" t="n">
        <v>201</v>
      </c>
      <c r="D4" s="9" t="inlineStr"/>
      <c r="E4" s="9" t="inlineStr"/>
    </row>
    <row r="5">
      <c r="A5" s="10" t="n">
        <v>2022</v>
      </c>
      <c r="B5" s="18" t="n">
        <v>141.15</v>
      </c>
      <c r="C5" s="18" t="n">
        <v>167.07</v>
      </c>
      <c r="D5" s="18" t="n">
        <v>1.2</v>
      </c>
      <c r="E5" s="18" t="n">
        <v>-16.9</v>
      </c>
    </row>
    <row r="6">
      <c r="A6" s="9" t="n">
        <v>2023</v>
      </c>
      <c r="B6" s="16" t="n">
        <v>151.29</v>
      </c>
      <c r="C6" s="16" t="n">
        <v>170.23</v>
      </c>
      <c r="D6" s="16" t="n">
        <v>7.2</v>
      </c>
      <c r="E6" s="16" t="n">
        <v>1.9</v>
      </c>
    </row>
    <row r="7">
      <c r="A7" s="10" t="n">
        <v>2024</v>
      </c>
      <c r="B7" s="18" t="n">
        <v>162.73</v>
      </c>
      <c r="C7" s="18" t="n">
        <v>147.81</v>
      </c>
      <c r="D7" s="18" t="n">
        <v>7.6</v>
      </c>
      <c r="E7" s="18" t="n">
        <v>-13.2</v>
      </c>
    </row>
    <row r="8">
      <c r="A8" s="9" t="n">
        <v>2025</v>
      </c>
      <c r="B8" s="16" t="n">
        <v>181.72</v>
      </c>
      <c r="C8" s="16" t="n">
        <v>147.78</v>
      </c>
      <c r="D8" s="16" t="n">
        <v>11.7</v>
      </c>
      <c r="E8" s="1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整备质量年度分析</t>
        </is>
      </c>
    </row>
    <row r="3">
      <c r="A3" s="8" t="inlineStr">
        <is>
          <t>年份</t>
        </is>
      </c>
      <c r="B3" s="8" t="inlineStr">
        <is>
          <t>BEV均值(kg)</t>
        </is>
      </c>
      <c r="C3" s="8" t="inlineStr">
        <is>
          <t>BEV中位数(kg)</t>
        </is>
      </c>
      <c r="D3" s="8" t="inlineStr">
        <is>
          <t>PHEV均值(kg)</t>
        </is>
      </c>
      <c r="E3" s="8" t="inlineStr">
        <is>
          <t>PHEV中位数(kg)</t>
        </is>
      </c>
    </row>
    <row r="4">
      <c r="A4" s="9" t="n">
        <v>2021</v>
      </c>
      <c r="B4" s="16" t="n">
        <v>1589.48</v>
      </c>
      <c r="C4" s="16" t="n">
        <v>1649</v>
      </c>
      <c r="D4" s="16" t="n">
        <v>1921.05</v>
      </c>
      <c r="E4" s="16" t="n">
        <v>1840</v>
      </c>
    </row>
    <row r="5">
      <c r="A5" s="10" t="n">
        <v>2022</v>
      </c>
      <c r="B5" s="18" t="n">
        <v>1681.56</v>
      </c>
      <c r="C5" s="18" t="n">
        <v>1740</v>
      </c>
      <c r="D5" s="18" t="n">
        <v>2039</v>
      </c>
      <c r="E5" s="18" t="n">
        <v>1985</v>
      </c>
    </row>
    <row r="6">
      <c r="A6" s="9" t="n">
        <v>2023</v>
      </c>
      <c r="B6" s="16" t="n">
        <v>1905.47</v>
      </c>
      <c r="C6" s="16" t="n">
        <v>1985</v>
      </c>
      <c r="D6" s="16" t="n">
        <v>2072.21</v>
      </c>
      <c r="E6" s="16" t="n">
        <v>2030</v>
      </c>
    </row>
    <row r="7">
      <c r="A7" s="10" t="n">
        <v>2024</v>
      </c>
      <c r="B7" s="18" t="n">
        <v>1943.05</v>
      </c>
      <c r="C7" s="18" t="n">
        <v>1960</v>
      </c>
      <c r="D7" s="18" t="n">
        <v>2084.3</v>
      </c>
      <c r="E7" s="18" t="n">
        <v>1990</v>
      </c>
    </row>
    <row r="8">
      <c r="A8" s="9" t="n">
        <v>2025</v>
      </c>
      <c r="B8" s="16" t="n">
        <v>1969.5</v>
      </c>
      <c r="C8" s="16" t="n">
        <v>1955</v>
      </c>
      <c r="D8" s="16" t="n">
        <v>2269.23</v>
      </c>
      <c r="E8" s="16" t="n">
        <v>2194.5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64653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</cols>
  <sheetData>
    <row r="1">
      <c r="A1" s="7" t="inlineStr">
        <is>
          <t>功率质量比年度趋势</t>
        </is>
      </c>
    </row>
    <row r="3">
      <c r="A3" s="8" t="inlineStr">
        <is>
          <t>年份</t>
        </is>
      </c>
      <c r="B3" s="8" t="inlineStr">
        <is>
          <t>BEV均值(kW/kg)</t>
        </is>
      </c>
      <c r="C3" s="8" t="inlineStr">
        <is>
          <t>PHEV均值(kW/kg)</t>
        </is>
      </c>
    </row>
    <row r="4">
      <c r="A4" s="9" t="n">
        <v>2021</v>
      </c>
      <c r="B4" s="19" t="n">
        <v>88.37</v>
      </c>
      <c r="C4" s="19" t="n">
        <v>103.83</v>
      </c>
    </row>
    <row r="5">
      <c r="A5" s="10" t="n">
        <v>2022</v>
      </c>
      <c r="B5" s="20" t="n">
        <v>84.48999999999999</v>
      </c>
      <c r="C5" s="20" t="n">
        <v>80.8</v>
      </c>
    </row>
    <row r="6">
      <c r="A6" s="9" t="n">
        <v>2023</v>
      </c>
      <c r="B6" s="19" t="n">
        <v>84.05</v>
      </c>
      <c r="C6" s="19" t="n">
        <v>82</v>
      </c>
    </row>
    <row r="7">
      <c r="A7" s="10" t="n">
        <v>2024</v>
      </c>
      <c r="B7" s="20" t="n">
        <v>85.13</v>
      </c>
      <c r="C7" s="20" t="n">
        <v>73.53</v>
      </c>
    </row>
    <row r="8">
      <c r="A8" s="9" t="n">
        <v>2025</v>
      </c>
      <c r="B8" s="19" t="n">
        <v>90.37</v>
      </c>
      <c r="C8" s="19" t="n">
        <v>66.84999999999999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4A7B9D"/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7" t="inlineStr">
        <is>
          <t>整车能量密度年度趋势</t>
        </is>
      </c>
    </row>
    <row r="3">
      <c r="A3" s="8" t="inlineStr">
        <is>
          <t>年份</t>
        </is>
      </c>
      <c r="B3" s="8" t="inlineStr">
        <is>
          <t>BEV均值(Wh/kg)</t>
        </is>
      </c>
      <c r="C3" s="8" t="inlineStr">
        <is>
          <t>PHEV均值(Wh/kg)</t>
        </is>
      </c>
    </row>
    <row r="4">
      <c r="A4" s="9" t="n">
        <v>2021</v>
      </c>
      <c r="B4" s="16" t="n">
        <v>32.56</v>
      </c>
      <c r="C4" s="16" t="n">
        <v>11.01</v>
      </c>
    </row>
    <row r="5">
      <c r="A5" s="10" t="n">
        <v>2022</v>
      </c>
      <c r="B5" s="18" t="n">
        <v>32.76</v>
      </c>
      <c r="C5" s="18" t="n">
        <v>12.37</v>
      </c>
    </row>
    <row r="6">
      <c r="A6" s="9" t="n">
        <v>2023</v>
      </c>
      <c r="B6" s="16" t="n">
        <v>33.84</v>
      </c>
      <c r="C6" s="16" t="n">
        <v>12.75</v>
      </c>
    </row>
    <row r="7">
      <c r="A7" s="10" t="n">
        <v>2024</v>
      </c>
      <c r="B7" s="18" t="n">
        <v>34.53</v>
      </c>
      <c r="C7" s="18" t="n">
        <v>13.4</v>
      </c>
    </row>
    <row r="8">
      <c r="A8" s="9" t="n">
        <v>2025</v>
      </c>
      <c r="B8" s="16" t="n">
        <v>35.89</v>
      </c>
      <c r="C8" s="16" t="n">
        <v>15.94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6B8E23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7" t="inlineStr">
        <is>
          <t>BEV百公里电耗年度趋势</t>
        </is>
      </c>
    </row>
    <row r="3">
      <c r="A3" s="8" t="inlineStr">
        <is>
          <t>年份</t>
        </is>
      </c>
      <c r="B3" s="8" t="inlineStr">
        <is>
          <t>BEV均值(kWh/100km)</t>
        </is>
      </c>
      <c r="C3" s="8" t="inlineStr">
        <is>
          <t>中位数</t>
        </is>
      </c>
      <c r="D3" s="8" t="inlineStr">
        <is>
          <t>样本数</t>
        </is>
      </c>
    </row>
    <row r="4">
      <c r="A4" s="9" t="n">
        <v>2021</v>
      </c>
      <c r="B4" s="19" t="n">
        <v>13.35</v>
      </c>
      <c r="C4" s="19" t="n">
        <v>13.5</v>
      </c>
      <c r="D4" s="15" t="n">
        <v>445</v>
      </c>
    </row>
    <row r="5">
      <c r="A5" s="10" t="n">
        <v>2022</v>
      </c>
      <c r="B5" s="20" t="n">
        <v>13.5</v>
      </c>
      <c r="C5" s="20" t="n">
        <v>13.5</v>
      </c>
      <c r="D5" s="17" t="n">
        <v>302</v>
      </c>
    </row>
    <row r="6">
      <c r="A6" s="9" t="n">
        <v>2023</v>
      </c>
      <c r="B6" s="19" t="n">
        <v>15.07</v>
      </c>
      <c r="C6" s="19" t="n">
        <v>14.5</v>
      </c>
      <c r="D6" s="15" t="n">
        <v>34</v>
      </c>
    </row>
    <row r="7">
      <c r="A7" s="10" t="n">
        <v>2024</v>
      </c>
      <c r="B7" s="20" t="n">
        <v>12.84</v>
      </c>
      <c r="C7" s="20" t="n">
        <v>12.5</v>
      </c>
      <c r="D7" s="17" t="n">
        <v>53</v>
      </c>
    </row>
    <row r="8">
      <c r="A8" s="9" t="n">
        <v>2025</v>
      </c>
      <c r="B8" s="19" t="n">
        <v>14.07</v>
      </c>
      <c r="C8" s="19" t="n">
        <v>13.5</v>
      </c>
      <c r="D8" s="15" t="n">
        <v>75</v>
      </c>
    </row>
    <row r="11">
      <c r="A11" s="7" t="inlineStr">
        <is>
          <t>BEV百公里电耗按电池类型</t>
        </is>
      </c>
    </row>
    <row r="13">
      <c r="A13" s="8" t="inlineStr">
        <is>
          <t>电池类型</t>
        </is>
      </c>
      <c r="B13" s="8" t="inlineStr">
        <is>
          <t>2021</t>
        </is>
      </c>
      <c r="C13" s="8" t="inlineStr">
        <is>
          <t>2022</t>
        </is>
      </c>
      <c r="D13" s="8" t="inlineStr">
        <is>
          <t>2023</t>
        </is>
      </c>
      <c r="E13" s="8" t="inlineStr">
        <is>
          <t>2024</t>
        </is>
      </c>
      <c r="F13" s="8" t="inlineStr">
        <is>
          <t>2025</t>
        </is>
      </c>
    </row>
    <row r="14">
      <c r="A14" s="9" t="inlineStr">
        <is>
          <t>三元锂</t>
        </is>
      </c>
      <c r="B14" s="19" t="n">
        <v>14.05</v>
      </c>
      <c r="C14" s="19" t="n">
        <v>14.68</v>
      </c>
      <c r="D14" s="19" t="n">
        <v>15.55</v>
      </c>
      <c r="E14" s="19" t="n">
        <v>11.97</v>
      </c>
      <c r="F14" s="19" t="n">
        <v>14.91</v>
      </c>
    </row>
    <row r="15">
      <c r="A15" s="10" t="inlineStr">
        <is>
          <t>其他锂离子</t>
        </is>
      </c>
      <c r="B15" s="20" t="n">
        <v>13.35</v>
      </c>
      <c r="C15" s="20" t="n">
        <v>12.53</v>
      </c>
      <c r="D15" s="10" t="inlineStr"/>
      <c r="E15" s="10" t="inlineStr"/>
      <c r="F15" s="10" t="inlineStr"/>
    </row>
    <row r="16">
      <c r="A16" s="9" t="inlineStr">
        <is>
          <t>未知</t>
        </is>
      </c>
      <c r="B16" s="19" t="n">
        <v>16.1</v>
      </c>
      <c r="C16" s="19" t="n">
        <v>14.8</v>
      </c>
      <c r="D16" s="9" t="inlineStr"/>
      <c r="E16" s="9" t="inlineStr"/>
      <c r="F16" s="19" t="n">
        <v>12.83</v>
      </c>
    </row>
    <row r="17">
      <c r="A17" s="10" t="inlineStr">
        <is>
          <t>磷酸铁锂</t>
        </is>
      </c>
      <c r="B17" s="20" t="n">
        <v>12.43</v>
      </c>
      <c r="C17" s="20" t="n">
        <v>12.4</v>
      </c>
      <c r="D17" s="20" t="n">
        <v>13.72</v>
      </c>
      <c r="E17" s="20" t="n">
        <v>12.97</v>
      </c>
      <c r="F17" s="20" t="n">
        <v>13.78</v>
      </c>
    </row>
    <row r="18">
      <c r="A18" s="9" t="inlineStr">
        <is>
          <t>锰酸锂</t>
        </is>
      </c>
      <c r="B18" s="19" t="n">
        <v>21.48</v>
      </c>
      <c r="C18" s="9" t="inlineStr"/>
      <c r="D18" s="9" t="inlineStr"/>
      <c r="E18" s="9" t="inlineStr"/>
      <c r="F18" s="9" t="inlineStr"/>
    </row>
  </sheetData>
  <mergeCells count="2">
    <mergeCell ref="A11:F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E76F51"/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0" customWidth="1" min="7" max="7"/>
    <col width="14" customWidth="1" min="8" max="8"/>
    <col width="10" customWidth="1" min="9" max="9"/>
  </cols>
  <sheetData>
    <row r="1">
      <c r="A1" s="7" t="inlineStr">
        <is>
          <t>PHEV油耗分析</t>
        </is>
      </c>
    </row>
    <row r="3">
      <c r="A3" s="8" t="inlineStr">
        <is>
          <t>年份</t>
        </is>
      </c>
      <c r="B3" s="8" t="inlineStr">
        <is>
          <t>综合油耗均值</t>
        </is>
      </c>
      <c r="C3" s="8" t="inlineStr">
        <is>
          <t>综合油耗中位数</t>
        </is>
      </c>
      <c r="D3" s="8" t="inlineStr">
        <is>
          <t>综合油耗样本数</t>
        </is>
      </c>
      <c r="E3" s="8" t="inlineStr">
        <is>
          <t>B状态油耗均值</t>
        </is>
      </c>
      <c r="F3" s="8" t="inlineStr">
        <is>
          <t>B状态油耗中位数</t>
        </is>
      </c>
      <c r="G3" s="8" t="inlineStr">
        <is>
          <t>B状态油耗样本数</t>
        </is>
      </c>
      <c r="H3" s="8" t="inlineStr">
        <is>
          <t>纯电续航均值(km)</t>
        </is>
      </c>
      <c r="I3" s="8" t="inlineStr">
        <is>
          <t>纯电续航样本数</t>
        </is>
      </c>
    </row>
    <row r="4">
      <c r="A4" s="9" t="n">
        <v>2021</v>
      </c>
      <c r="B4" s="19" t="n">
        <v>2.66</v>
      </c>
      <c r="C4" s="19" t="n">
        <v>1.5</v>
      </c>
      <c r="D4" s="15" t="n">
        <v>69</v>
      </c>
      <c r="E4" s="19" t="n">
        <v>4.77</v>
      </c>
      <c r="F4" s="19" t="n">
        <v>4.6</v>
      </c>
      <c r="G4" s="15" t="n">
        <v>82</v>
      </c>
      <c r="H4" s="16" t="n">
        <v>101.55</v>
      </c>
      <c r="I4" s="15" t="n">
        <v>84</v>
      </c>
    </row>
    <row r="5">
      <c r="A5" s="10" t="n">
        <v>2022</v>
      </c>
      <c r="B5" s="20" t="n">
        <v>2.55</v>
      </c>
      <c r="C5" s="20" t="n">
        <v>1.45</v>
      </c>
      <c r="D5" s="17" t="n">
        <v>18</v>
      </c>
      <c r="E5" s="20" t="n">
        <v>6.08</v>
      </c>
      <c r="F5" s="20" t="n">
        <v>5.82</v>
      </c>
      <c r="G5" s="17" t="n">
        <v>113</v>
      </c>
      <c r="H5" s="18" t="n">
        <v>113.23</v>
      </c>
      <c r="I5" s="17" t="n">
        <v>113</v>
      </c>
    </row>
    <row r="6">
      <c r="A6" s="9" t="n">
        <v>2023</v>
      </c>
      <c r="B6" s="19" t="n">
        <v>0.98</v>
      </c>
      <c r="C6" s="19" t="n">
        <v>0.9</v>
      </c>
      <c r="D6" s="15" t="n">
        <v>5</v>
      </c>
      <c r="E6" s="19" t="n">
        <v>6</v>
      </c>
      <c r="F6" s="19" t="n">
        <v>5.88</v>
      </c>
      <c r="G6" s="15" t="n">
        <v>240</v>
      </c>
      <c r="H6" s="16" t="n">
        <v>120.38</v>
      </c>
      <c r="I6" s="15" t="n">
        <v>240</v>
      </c>
    </row>
    <row r="7">
      <c r="A7" s="10" t="n">
        <v>2024</v>
      </c>
      <c r="B7" s="20" t="n">
        <v>0.8</v>
      </c>
      <c r="C7" s="20" t="n">
        <v>0.8</v>
      </c>
      <c r="D7" s="17" t="n">
        <v>4</v>
      </c>
      <c r="E7" s="20" t="n">
        <v>5.66</v>
      </c>
      <c r="F7" s="20" t="n">
        <v>5.6</v>
      </c>
      <c r="G7" s="17" t="n">
        <v>387</v>
      </c>
      <c r="H7" s="18" t="n">
        <v>135.4</v>
      </c>
      <c r="I7" s="17" t="n">
        <v>387</v>
      </c>
    </row>
    <row r="8">
      <c r="A8" s="9" t="n">
        <v>2025</v>
      </c>
      <c r="B8" s="19" t="n">
        <v>5.87</v>
      </c>
      <c r="C8" s="19" t="n">
        <v>5.99</v>
      </c>
      <c r="D8" s="15" t="n">
        <v>481</v>
      </c>
      <c r="E8" s="19" t="n">
        <v>5.29</v>
      </c>
      <c r="F8" s="19" t="n">
        <v>5</v>
      </c>
      <c r="G8" s="15" t="n">
        <v>79</v>
      </c>
      <c r="H8" s="16" t="n">
        <v>175.13</v>
      </c>
      <c r="I8" s="15" t="n">
        <v>484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E76F5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7" t="inlineStr">
        <is>
          <t>综合油耗 排量x年份 (L/100km)</t>
        </is>
      </c>
    </row>
    <row r="3">
      <c r="A3" s="8" t="inlineStr">
        <is>
          <t>排量区间</t>
        </is>
      </c>
      <c r="B3" s="8" t="inlineStr">
        <is>
          <t>2021</t>
        </is>
      </c>
      <c r="C3" s="8" t="inlineStr">
        <is>
          <t>2022</t>
        </is>
      </c>
      <c r="D3" s="8" t="inlineStr">
        <is>
          <t>2023</t>
        </is>
      </c>
      <c r="E3" s="8" t="inlineStr">
        <is>
          <t>2024</t>
        </is>
      </c>
      <c r="F3" s="8" t="inlineStr">
        <is>
          <t>2025</t>
        </is>
      </c>
    </row>
    <row r="4">
      <c r="A4" s="9" t="inlineStr">
        <is>
          <t>1.0-1.5L</t>
        </is>
      </c>
      <c r="B4" s="19" t="n">
        <v>2.47</v>
      </c>
      <c r="C4" s="19" t="n">
        <v>2.32</v>
      </c>
      <c r="D4" s="19" t="n">
        <v>0.82</v>
      </c>
      <c r="E4" s="19" t="n">
        <v>0.8</v>
      </c>
      <c r="F4" s="19" t="n">
        <v>5.76</v>
      </c>
    </row>
    <row r="5">
      <c r="A5" s="10" t="inlineStr">
        <is>
          <t>1.5-2.0L</t>
        </is>
      </c>
      <c r="B5" s="20" t="n">
        <v>6.71</v>
      </c>
      <c r="C5" s="20" t="n">
        <v>6.46</v>
      </c>
      <c r="D5" s="20" t="n">
        <v>1.61</v>
      </c>
      <c r="E5" s="10" t="inlineStr"/>
      <c r="F5" s="20" t="n">
        <v>6.75</v>
      </c>
    </row>
    <row r="8">
      <c r="A8" s="7" t="inlineStr">
        <is>
          <t>综合油耗按排量区间</t>
        </is>
      </c>
    </row>
    <row r="10">
      <c r="A10" s="8" t="inlineStr">
        <is>
          <t>排量区间</t>
        </is>
      </c>
      <c r="B10" s="8" t="inlineStr">
        <is>
          <t>综合油耗均值</t>
        </is>
      </c>
      <c r="C10" s="8" t="inlineStr">
        <is>
          <t>综合油耗中位数</t>
        </is>
      </c>
      <c r="D10" s="8" t="inlineStr">
        <is>
          <t>综合油耗样本数</t>
        </is>
      </c>
    </row>
    <row r="11">
      <c r="A11" s="9" t="inlineStr">
        <is>
          <t>1.0-1.5L</t>
        </is>
      </c>
      <c r="B11" s="19" t="n">
        <v>5.15</v>
      </c>
      <c r="C11" s="19" t="n">
        <v>5.58</v>
      </c>
      <c r="D11" s="15" t="n">
        <v>517</v>
      </c>
    </row>
    <row r="12">
      <c r="A12" s="10" t="inlineStr">
        <is>
          <t>1.5-2.0L</t>
        </is>
      </c>
      <c r="B12" s="20" t="n">
        <v>6.66</v>
      </c>
      <c r="C12" s="20" t="n">
        <v>6.98</v>
      </c>
      <c r="D12" s="17" t="n">
        <v>59</v>
      </c>
    </row>
    <row r="17">
      <c r="A17" s="7" t="inlineStr">
        <is>
          <t>B状态油耗按排量区间</t>
        </is>
      </c>
    </row>
    <row r="19">
      <c r="A19" s="8" t="inlineStr">
        <is>
          <t>排量区间</t>
        </is>
      </c>
      <c r="B19" s="8" t="inlineStr">
        <is>
          <t>B状态油耗均值</t>
        </is>
      </c>
      <c r="C19" s="8" t="inlineStr">
        <is>
          <t>B状态油耗中位数</t>
        </is>
      </c>
      <c r="D19" s="8" t="inlineStr">
        <is>
          <t>B状态油耗样本数</t>
        </is>
      </c>
    </row>
    <row r="20">
      <c r="A20" s="9" t="inlineStr">
        <is>
          <t>1.0-1.5L</t>
        </is>
      </c>
      <c r="B20" s="19" t="n">
        <v>5.59</v>
      </c>
      <c r="C20" s="19" t="n">
        <v>5.55</v>
      </c>
      <c r="D20" s="15" t="n">
        <v>828</v>
      </c>
    </row>
    <row r="21">
      <c r="A21" s="10" t="inlineStr">
        <is>
          <t>1.5-2.0L</t>
        </is>
      </c>
      <c r="B21" s="20" t="n">
        <v>6.86</v>
      </c>
      <c r="C21" s="20" t="n">
        <v>6.6</v>
      </c>
      <c r="D21" s="17" t="n">
        <v>73</v>
      </c>
    </row>
  </sheetData>
  <mergeCells count="3">
    <mergeCell ref="A17:E17"/>
    <mergeCell ref="A1:F1"/>
    <mergeCell ref="A8:E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B8E23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8" customWidth="1" min="5" max="5"/>
  </cols>
  <sheetData>
    <row r="1">
      <c r="A1" s="7" t="inlineStr">
        <is>
          <t>技术路线矩阵 - 四象限分布</t>
        </is>
      </c>
    </row>
    <row r="3">
      <c r="A3" s="8" t="inlineStr">
        <is>
          <t>象限</t>
        </is>
      </c>
      <c r="B3" s="8" t="inlineStr">
        <is>
          <t>BEV数量</t>
        </is>
      </c>
      <c r="C3" s="8" t="inlineStr">
        <is>
          <t>BEV占比(%)</t>
        </is>
      </c>
      <c r="D3" s="8" t="inlineStr">
        <is>
          <t>PHEV数量</t>
        </is>
      </c>
      <c r="E3" s="8" t="inlineStr">
        <is>
          <t>PHEV占比(%)</t>
        </is>
      </c>
    </row>
    <row r="4">
      <c r="A4" s="9" t="inlineStr">
        <is>
          <t>Q1_高续航高容量</t>
        </is>
      </c>
      <c r="B4" s="15" t="n">
        <v>1194</v>
      </c>
      <c r="C4" s="16" t="n">
        <v>42.7</v>
      </c>
      <c r="D4" s="15" t="n">
        <v>595</v>
      </c>
      <c r="E4" s="16" t="n">
        <v>45.5</v>
      </c>
    </row>
    <row r="5">
      <c r="A5" s="10" t="inlineStr">
        <is>
          <t>Q2_低续航高容量</t>
        </is>
      </c>
      <c r="B5" s="17" t="n">
        <v>211</v>
      </c>
      <c r="C5" s="18" t="n">
        <v>7.5</v>
      </c>
      <c r="D5" s="17" t="n">
        <v>59</v>
      </c>
      <c r="E5" s="18" t="n">
        <v>4.5</v>
      </c>
    </row>
    <row r="6">
      <c r="A6" s="9" t="inlineStr">
        <is>
          <t>Q3_低续航低容量</t>
        </is>
      </c>
      <c r="B6" s="15" t="n">
        <v>1172</v>
      </c>
      <c r="C6" s="16" t="n">
        <v>41.9</v>
      </c>
      <c r="D6" s="15" t="n">
        <v>591</v>
      </c>
      <c r="E6" s="16" t="n">
        <v>45.2</v>
      </c>
    </row>
    <row r="7">
      <c r="A7" s="10" t="inlineStr">
        <is>
          <t>Q4_高续航低容量</t>
        </is>
      </c>
      <c r="B7" s="17" t="n">
        <v>219</v>
      </c>
      <c r="C7" s="18" t="n">
        <v>7.8</v>
      </c>
      <c r="D7" s="17" t="n">
        <v>63</v>
      </c>
      <c r="E7" s="18" t="n">
        <v>4.8</v>
      </c>
    </row>
    <row r="10">
      <c r="A10" s="7" t="inlineStr">
        <is>
          <t>BEV四象限详细指标</t>
        </is>
      </c>
    </row>
    <row r="12">
      <c r="A12" s="8" t="inlineStr">
        <is>
          <t>象限</t>
        </is>
      </c>
      <c r="B12" s="8" t="inlineStr">
        <is>
          <t>平均续航(km)</t>
        </is>
      </c>
      <c r="C12" s="8" t="inlineStr">
        <is>
          <t>平均容量(kWh)</t>
        </is>
      </c>
      <c r="D12" s="8" t="inlineStr">
        <is>
          <t>平均整备质量(kg)</t>
        </is>
      </c>
      <c r="E12" s="8" t="inlineStr">
        <is>
          <t>平均电耗(kWh/100km)</t>
        </is>
      </c>
    </row>
    <row r="13">
      <c r="A13" s="9" t="inlineStr">
        <is>
          <t>Q1_高续航高容量</t>
        </is>
      </c>
      <c r="B13" s="16" t="n">
        <v>651.36</v>
      </c>
      <c r="C13" s="16" t="n">
        <v>86.45999999999999</v>
      </c>
      <c r="D13" s="16" t="n">
        <v>2214.98</v>
      </c>
      <c r="E13" s="19" t="n">
        <v>14.91</v>
      </c>
    </row>
    <row r="14">
      <c r="A14" s="10" t="inlineStr">
        <is>
          <t>Q2_低续航高容量</t>
        </is>
      </c>
      <c r="B14" s="18" t="n">
        <v>460.18</v>
      </c>
      <c r="C14" s="18" t="n">
        <v>75.59</v>
      </c>
      <c r="D14" s="18" t="n">
        <v>2212.6</v>
      </c>
      <c r="E14" s="20" t="n">
        <v>16.53</v>
      </c>
    </row>
    <row r="15">
      <c r="A15" s="9" t="inlineStr">
        <is>
          <t>Q3_低续航低容量</t>
        </is>
      </c>
      <c r="B15" s="16" t="n">
        <v>353.48</v>
      </c>
      <c r="C15" s="16" t="n">
        <v>40.87</v>
      </c>
      <c r="D15" s="16" t="n">
        <v>1383.01</v>
      </c>
      <c r="E15" s="19" t="n">
        <v>12.16</v>
      </c>
    </row>
    <row r="16">
      <c r="A16" s="10" t="inlineStr">
        <is>
          <t>Q4_高续航低容量</t>
        </is>
      </c>
      <c r="B16" s="18" t="n">
        <v>545.85</v>
      </c>
      <c r="C16" s="18" t="n">
        <v>60.11</v>
      </c>
      <c r="D16" s="18" t="n">
        <v>1777.91</v>
      </c>
      <c r="E16" s="20" t="n">
        <v>12.62</v>
      </c>
    </row>
  </sheetData>
  <mergeCells count="2">
    <mergeCell ref="A1:E1"/>
    <mergeCell ref="A10:E10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tabColor rgb="00264653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>
      <c r="A1" s="7" t="inlineStr">
        <is>
          <t>供应商集中度 (HHI)</t>
        </is>
      </c>
    </row>
    <row r="3">
      <c r="A3" s="8" t="inlineStr">
        <is>
          <t>年份</t>
        </is>
      </c>
      <c r="B3" s="8" t="inlineStr">
        <is>
          <t>电池HHI</t>
        </is>
      </c>
      <c r="C3" s="8" t="inlineStr">
        <is>
          <t>电池供应商数</t>
        </is>
      </c>
      <c r="D3" s="8" t="inlineStr">
        <is>
          <t>电机HHI</t>
        </is>
      </c>
      <c r="E3" s="8" t="inlineStr">
        <is>
          <t>电机供应商数</t>
        </is>
      </c>
      <c r="F3" s="8" t="inlineStr">
        <is>
          <t>发动机HHI</t>
        </is>
      </c>
      <c r="G3" s="8" t="inlineStr">
        <is>
          <t>发动机供应商数</t>
        </is>
      </c>
    </row>
    <row r="4">
      <c r="A4" s="9" t="n">
        <v>2021</v>
      </c>
      <c r="B4" s="16" t="n">
        <v>610.8</v>
      </c>
      <c r="C4" s="15" t="n">
        <v>114</v>
      </c>
      <c r="D4" s="16" t="n">
        <v>240.3</v>
      </c>
      <c r="E4" s="15" t="n">
        <v>111</v>
      </c>
      <c r="F4" s="16" t="n">
        <v>10000</v>
      </c>
      <c r="G4" s="15" t="n">
        <v>1</v>
      </c>
    </row>
    <row r="5">
      <c r="A5" s="10" t="n">
        <v>2022</v>
      </c>
      <c r="B5" s="18" t="n">
        <v>858.8</v>
      </c>
      <c r="C5" s="17" t="n">
        <v>92</v>
      </c>
      <c r="D5" s="18" t="n">
        <v>304.3</v>
      </c>
      <c r="E5" s="17" t="n">
        <v>115</v>
      </c>
      <c r="F5" s="18" t="n">
        <v>10000</v>
      </c>
      <c r="G5" s="17" t="n">
        <v>1</v>
      </c>
    </row>
    <row r="6">
      <c r="A6" s="9" t="n">
        <v>2023</v>
      </c>
      <c r="B6" s="16" t="n">
        <v>795.3</v>
      </c>
      <c r="C6" s="15" t="n">
        <v>85</v>
      </c>
      <c r="D6" s="16" t="n">
        <v>382.1</v>
      </c>
      <c r="E6" s="15" t="n">
        <v>120</v>
      </c>
      <c r="F6" s="16" t="n">
        <v>10000</v>
      </c>
      <c r="G6" s="15" t="n">
        <v>1</v>
      </c>
    </row>
    <row r="7">
      <c r="A7" s="10" t="n">
        <v>2024</v>
      </c>
      <c r="B7" s="18" t="n">
        <v>638.4</v>
      </c>
      <c r="C7" s="17" t="n">
        <v>115</v>
      </c>
      <c r="D7" s="18" t="n">
        <v>299.7</v>
      </c>
      <c r="E7" s="17" t="n">
        <v>117</v>
      </c>
      <c r="F7" s="18" t="n">
        <v>6889.5</v>
      </c>
      <c r="G7" s="17" t="n">
        <v>28</v>
      </c>
    </row>
    <row r="8">
      <c r="A8" s="9" t="n">
        <v>2025</v>
      </c>
      <c r="B8" s="16" t="n">
        <v>1233.8</v>
      </c>
      <c r="C8" s="15" t="n">
        <v>31</v>
      </c>
      <c r="D8" s="16" t="n">
        <v>286.9</v>
      </c>
      <c r="E8" s="15" t="n">
        <v>74</v>
      </c>
      <c r="F8" s="16" t="n">
        <v>1947.6</v>
      </c>
      <c r="G8" s="15" t="n">
        <v>44</v>
      </c>
    </row>
    <row r="11">
      <c r="A11" s="7" t="inlineStr">
        <is>
          <t>总体集中度</t>
        </is>
      </c>
    </row>
    <row r="13">
      <c r="A13" s="11" t="inlineStr">
        <is>
          <t>电池供应商总体HHI</t>
        </is>
      </c>
      <c r="B13" s="12" t="n">
        <v>642.3</v>
      </c>
      <c r="C13" s="13" t="n"/>
      <c r="D13" s="13" t="n"/>
      <c r="E13" s="13" t="n"/>
      <c r="F13" s="14" t="n"/>
    </row>
    <row r="14">
      <c r="A14" s="11" t="inlineStr">
        <is>
          <t>电池供应商总数</t>
        </is>
      </c>
      <c r="B14" s="12" t="n">
        <v>301</v>
      </c>
      <c r="C14" s="13" t="n"/>
      <c r="D14" s="13" t="n"/>
      <c r="E14" s="13" t="n"/>
      <c r="F14" s="14" t="n"/>
    </row>
    <row r="15">
      <c r="A15" s="11" t="inlineStr">
        <is>
          <t>电机供应商总体HHI</t>
        </is>
      </c>
      <c r="B15" s="12" t="n">
        <v>197.3</v>
      </c>
      <c r="C15" s="13" t="n"/>
      <c r="D15" s="13" t="n"/>
      <c r="E15" s="13" t="n"/>
      <c r="F15" s="14" t="n"/>
    </row>
    <row r="16">
      <c r="A16" s="11" t="inlineStr">
        <is>
          <t>电机供应商总数</t>
        </is>
      </c>
      <c r="B16" s="12" t="n">
        <v>350</v>
      </c>
      <c r="C16" s="13" t="n"/>
      <c r="D16" s="13" t="n"/>
      <c r="E16" s="13" t="n"/>
      <c r="F16" s="14" t="n"/>
    </row>
    <row r="17">
      <c r="A17" s="11" t="inlineStr">
        <is>
          <t>发动机供应商总体HHI</t>
        </is>
      </c>
      <c r="B17" s="12" t="n">
        <v>6396.7</v>
      </c>
      <c r="C17" s="13" t="n"/>
      <c r="D17" s="13" t="n"/>
      <c r="E17" s="13" t="n"/>
      <c r="F17" s="14" t="n"/>
    </row>
    <row r="18">
      <c r="A18" s="11" t="inlineStr">
        <is>
          <t>发动机供应商总数</t>
        </is>
      </c>
      <c r="B18" s="12" t="n">
        <v>55</v>
      </c>
      <c r="C18" s="13" t="n"/>
      <c r="D18" s="13" t="n"/>
      <c r="E18" s="13" t="n"/>
      <c r="F18" s="14" t="n"/>
    </row>
  </sheetData>
  <mergeCells count="8">
    <mergeCell ref="A11:F11"/>
    <mergeCell ref="A1:G1"/>
    <mergeCell ref="B16:F16"/>
    <mergeCell ref="B15:F15"/>
    <mergeCell ref="B14:F14"/>
    <mergeCell ref="B17:F17"/>
    <mergeCell ref="B18:F18"/>
    <mergeCell ref="B13:F13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电池供应商CR趋势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0.354</v>
      </c>
      <c r="C4" s="25" t="n">
        <v>0.457</v>
      </c>
      <c r="D4" s="25" t="n">
        <v>0.5639999999999999</v>
      </c>
      <c r="E4" s="15" t="n">
        <v>114</v>
      </c>
    </row>
    <row r="5">
      <c r="A5" s="10" t="n">
        <v>2022</v>
      </c>
      <c r="B5" s="26" t="n">
        <v>0.42</v>
      </c>
      <c r="C5" s="26" t="n">
        <v>0.528</v>
      </c>
      <c r="D5" s="26" t="n">
        <v>0.6459999999999999</v>
      </c>
      <c r="E5" s="17" t="n">
        <v>92</v>
      </c>
    </row>
    <row r="6">
      <c r="A6" s="9" t="n">
        <v>2023</v>
      </c>
      <c r="B6" s="25" t="n">
        <v>0.377</v>
      </c>
      <c r="C6" s="25" t="n">
        <v>0.527</v>
      </c>
      <c r="D6" s="25" t="n">
        <v>0.725</v>
      </c>
      <c r="E6" s="15" t="n">
        <v>85</v>
      </c>
    </row>
    <row r="7">
      <c r="A7" s="10" t="n">
        <v>2024</v>
      </c>
      <c r="B7" s="26" t="n">
        <v>0.377</v>
      </c>
      <c r="C7" s="26" t="n">
        <v>0.5</v>
      </c>
      <c r="D7" s="26" t="n">
        <v>0.648</v>
      </c>
      <c r="E7" s="17" t="n">
        <v>115</v>
      </c>
    </row>
    <row r="8">
      <c r="A8" s="9" t="n">
        <v>2025</v>
      </c>
      <c r="B8" s="25" t="n">
        <v>0.459</v>
      </c>
      <c r="C8" s="25" t="n">
        <v>0.555</v>
      </c>
      <c r="D8" s="25" t="n">
        <v>0.76</v>
      </c>
      <c r="E8" s="15" t="n">
        <v>31</v>
      </c>
    </row>
    <row r="11">
      <c r="A11" s="7" t="inlineStr">
        <is>
          <t>电池供应商Top10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宁德时代</t>
        </is>
      </c>
      <c r="C14" s="25" t="n">
        <v>5.84</v>
      </c>
    </row>
    <row r="15">
      <c r="A15" s="10" t="n">
        <v>2</v>
      </c>
      <c r="B15" s="10" t="inlineStr">
        <is>
          <t>国轩高科</t>
        </is>
      </c>
      <c r="C15" s="26" t="n">
        <v>2.69</v>
      </c>
    </row>
    <row r="16">
      <c r="A16" s="9" t="n">
        <v>3</v>
      </c>
      <c r="B16" s="9" t="inlineStr">
        <is>
          <t>中创新航</t>
        </is>
      </c>
      <c r="C16" s="25" t="n">
        <v>2.26</v>
      </c>
    </row>
    <row r="17">
      <c r="A17" s="10" t="n">
        <v>4</v>
      </c>
      <c r="B17" s="10" t="inlineStr">
        <is>
          <t>江苏时代</t>
        </is>
      </c>
      <c r="C17" s="26" t="n">
        <v>1.88</v>
      </c>
    </row>
    <row r="18">
      <c r="A18" s="9" t="n">
        <v>5</v>
      </c>
      <c r="B18" s="9" t="inlineStr">
        <is>
          <t>蜂巢能源</t>
        </is>
      </c>
      <c r="C18" s="25" t="n">
        <v>1.65</v>
      </c>
    </row>
    <row r="19">
      <c r="A19" s="10" t="n">
        <v>6</v>
      </c>
      <c r="B19" s="10" t="inlineStr">
        <is>
          <t>弗迪电池</t>
        </is>
      </c>
      <c r="C19" s="26" t="n">
        <v>1.63</v>
      </c>
    </row>
    <row r="20">
      <c r="A20" s="9" t="n">
        <v>7</v>
      </c>
      <c r="B20" s="9" t="inlineStr">
        <is>
          <t>时代上汽</t>
        </is>
      </c>
      <c r="C20" s="25" t="n">
        <v>1.02</v>
      </c>
    </row>
    <row r="21">
      <c r="A21" s="10" t="n">
        <v>8</v>
      </c>
      <c r="B21" s="10" t="inlineStr">
        <is>
          <t>亿纬动力</t>
        </is>
      </c>
      <c r="C21" s="26" t="n">
        <v>0.9399999999999999</v>
      </c>
    </row>
    <row r="22">
      <c r="A22" s="9" t="n">
        <v>9</v>
      </c>
      <c r="B22" s="9" t="inlineStr">
        <is>
          <t>欣旺达</t>
        </is>
      </c>
      <c r="C22" s="25" t="n">
        <v>0.43</v>
      </c>
    </row>
    <row r="23">
      <c r="A23" s="10" t="n">
        <v>10</v>
      </c>
      <c r="B23" s="10" t="inlineStr">
        <is>
          <t>瑞浦兰钧</t>
        </is>
      </c>
      <c r="C23" s="26" t="n">
        <v>0.42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电机供应商CR趋势</t>
        </is>
      </c>
    </row>
    <row r="3">
      <c r="A3" s="8" t="inlineStr">
        <is>
          <t>年份</t>
        </is>
      </c>
      <c r="B3" s="8" t="inlineStr">
        <is>
          <t>CR3(%)</t>
        </is>
      </c>
      <c r="C3" s="8" t="inlineStr">
        <is>
          <t>CR5(%)</t>
        </is>
      </c>
      <c r="D3" s="8" t="inlineStr">
        <is>
          <t>CR10(%)</t>
        </is>
      </c>
      <c r="E3" s="8" t="inlineStr">
        <is>
          <t>供应商数</t>
        </is>
      </c>
    </row>
    <row r="4">
      <c r="A4" s="9" t="n">
        <v>2021</v>
      </c>
      <c r="B4" s="25" t="n">
        <v>0.188</v>
      </c>
      <c r="C4" s="25" t="n">
        <v>0.255</v>
      </c>
      <c r="D4" s="25" t="n">
        <v>0.384</v>
      </c>
      <c r="E4" s="15" t="n">
        <v>111</v>
      </c>
    </row>
    <row r="5">
      <c r="A5" s="10" t="n">
        <v>2022</v>
      </c>
      <c r="B5" s="26" t="n">
        <v>0.235</v>
      </c>
      <c r="C5" s="26" t="n">
        <v>0.315</v>
      </c>
      <c r="D5" s="26" t="n">
        <v>0.45</v>
      </c>
      <c r="E5" s="17" t="n">
        <v>115</v>
      </c>
    </row>
    <row r="6">
      <c r="A6" s="9" t="n">
        <v>2023</v>
      </c>
      <c r="B6" s="25" t="n">
        <v>0.284</v>
      </c>
      <c r="C6" s="25" t="n">
        <v>0.354</v>
      </c>
      <c r="D6" s="25" t="n">
        <v>0.456</v>
      </c>
      <c r="E6" s="15" t="n">
        <v>120</v>
      </c>
    </row>
    <row r="7">
      <c r="A7" s="10" t="n">
        <v>2024</v>
      </c>
      <c r="B7" s="26" t="n">
        <v>0.221</v>
      </c>
      <c r="C7" s="26" t="n">
        <v>0.296</v>
      </c>
      <c r="D7" s="26" t="n">
        <v>0.444</v>
      </c>
      <c r="E7" s="17" t="n">
        <v>117</v>
      </c>
    </row>
    <row r="8">
      <c r="A8" s="9" t="n">
        <v>2025</v>
      </c>
      <c r="B8" s="25" t="n">
        <v>0.152</v>
      </c>
      <c r="C8" s="25" t="n">
        <v>0.238</v>
      </c>
      <c r="D8" s="25" t="n">
        <v>0.425</v>
      </c>
      <c r="E8" s="15" t="n">
        <v>74</v>
      </c>
    </row>
    <row r="11">
      <c r="A11" s="7" t="inlineStr">
        <is>
          <t>电机供应商Top10</t>
        </is>
      </c>
    </row>
    <row r="13">
      <c r="A13" s="8" t="inlineStr">
        <is>
          <t>排名</t>
        </is>
      </c>
      <c r="B13" s="8" t="inlineStr">
        <is>
          <t>供应商</t>
        </is>
      </c>
      <c r="C13" s="8" t="inlineStr">
        <is>
          <t>数量</t>
        </is>
      </c>
    </row>
    <row r="14">
      <c r="A14" s="9" t="n">
        <v>1</v>
      </c>
      <c r="B14" s="9" t="inlineStr">
        <is>
          <t>联合汽车电子</t>
        </is>
      </c>
      <c r="C14" s="25" t="n">
        <v>2.16</v>
      </c>
    </row>
    <row r="15">
      <c r="A15" s="10" t="n">
        <v>2</v>
      </c>
      <c r="B15" s="10" t="inlineStr">
        <is>
          <t>苏州汇川</t>
        </is>
      </c>
      <c r="C15" s="26" t="n">
        <v>1.64</v>
      </c>
    </row>
    <row r="16">
      <c r="A16" s="9" t="n">
        <v>3</v>
      </c>
      <c r="B16" s="9" t="inlineStr">
        <is>
          <t>衢州极电</t>
        </is>
      </c>
      <c r="C16" s="25" t="n">
        <v>0.73</v>
      </c>
    </row>
    <row r="17">
      <c r="A17" s="10" t="n">
        <v>4</v>
      </c>
      <c r="B17" s="10" t="inlineStr">
        <is>
          <t>威睿电动</t>
        </is>
      </c>
      <c r="C17" s="26" t="n">
        <v>0.72</v>
      </c>
    </row>
    <row r="18">
      <c r="A18" s="9" t="n">
        <v>5</v>
      </c>
      <c r="B18" s="9" t="inlineStr">
        <is>
          <t>方正电机</t>
        </is>
      </c>
      <c r="C18" s="25" t="n">
        <v>0.72</v>
      </c>
    </row>
    <row r="19">
      <c r="A19" s="10" t="n">
        <v>6</v>
      </c>
      <c r="B19" s="10" t="inlineStr">
        <is>
          <t>智新科技</t>
        </is>
      </c>
      <c r="C19" s="26" t="n">
        <v>0.67</v>
      </c>
    </row>
    <row r="20">
      <c r="A20" s="9" t="n">
        <v>7</v>
      </c>
      <c r="B20" s="9" t="inlineStr">
        <is>
          <t>珠海英搏尔</t>
        </is>
      </c>
      <c r="C20" s="25" t="n">
        <v>0.66</v>
      </c>
    </row>
    <row r="21">
      <c r="A21" s="10" t="n">
        <v>8</v>
      </c>
      <c r="B21" s="10" t="inlineStr">
        <is>
          <t>奇瑞新能源</t>
        </is>
      </c>
      <c r="C21" s="26" t="n">
        <v>0.64</v>
      </c>
    </row>
    <row r="22">
      <c r="A22" s="9" t="n">
        <v>9</v>
      </c>
      <c r="B22" s="9" t="inlineStr">
        <is>
          <t>锐湃动力</t>
        </is>
      </c>
      <c r="C22" s="25" t="n">
        <v>0.53</v>
      </c>
    </row>
    <row r="23">
      <c r="A23" s="10" t="n">
        <v>10</v>
      </c>
      <c r="B23" s="10" t="inlineStr">
        <is>
          <t>华为数字能源</t>
        </is>
      </c>
      <c r="C23" s="26" t="n">
        <v>0.52</v>
      </c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电池供应商排名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宁德时代</t>
        </is>
      </c>
      <c r="C4" s="15" t="n">
        <v>584</v>
      </c>
      <c r="D4" s="25" t="n">
        <v>0.1925</v>
      </c>
    </row>
    <row r="5">
      <c r="A5" s="10" t="n">
        <v>2</v>
      </c>
      <c r="B5" s="10" t="inlineStr">
        <is>
          <t>国轩高科</t>
        </is>
      </c>
      <c r="C5" s="17" t="n">
        <v>269</v>
      </c>
      <c r="D5" s="26" t="n">
        <v>0.08869999999999999</v>
      </c>
    </row>
    <row r="6">
      <c r="A6" s="9" t="n">
        <v>3</v>
      </c>
      <c r="B6" s="9" t="inlineStr">
        <is>
          <t>中创新航</t>
        </is>
      </c>
      <c r="C6" s="15" t="n">
        <v>226</v>
      </c>
      <c r="D6" s="25" t="n">
        <v>0.0745</v>
      </c>
    </row>
    <row r="7">
      <c r="A7" s="10" t="n">
        <v>4</v>
      </c>
      <c r="B7" s="10" t="inlineStr">
        <is>
          <t>江苏时代</t>
        </is>
      </c>
      <c r="C7" s="17" t="n">
        <v>188</v>
      </c>
      <c r="D7" s="26" t="n">
        <v>0.062</v>
      </c>
    </row>
    <row r="8">
      <c r="A8" s="9" t="n">
        <v>5</v>
      </c>
      <c r="B8" s="9" t="inlineStr">
        <is>
          <t>蜂巢能源</t>
        </is>
      </c>
      <c r="C8" s="15" t="n">
        <v>165</v>
      </c>
      <c r="D8" s="25" t="n">
        <v>0.0544</v>
      </c>
    </row>
    <row r="9">
      <c r="A9" s="10" t="n">
        <v>6</v>
      </c>
      <c r="B9" s="10" t="inlineStr">
        <is>
          <t>弗迪电池</t>
        </is>
      </c>
      <c r="C9" s="17" t="n">
        <v>163</v>
      </c>
      <c r="D9" s="26" t="n">
        <v>0.0537</v>
      </c>
    </row>
    <row r="10">
      <c r="A10" s="9" t="n">
        <v>7</v>
      </c>
      <c r="B10" s="9" t="inlineStr">
        <is>
          <t>时代上汽</t>
        </is>
      </c>
      <c r="C10" s="15" t="n">
        <v>102</v>
      </c>
      <c r="D10" s="25" t="n">
        <v>0.0336</v>
      </c>
    </row>
    <row r="11">
      <c r="A11" s="10" t="n">
        <v>8</v>
      </c>
      <c r="B11" s="10" t="inlineStr">
        <is>
          <t>亿纬动力</t>
        </is>
      </c>
      <c r="C11" s="17" t="n">
        <v>94</v>
      </c>
      <c r="D11" s="26" t="n">
        <v>0.031</v>
      </c>
    </row>
    <row r="12">
      <c r="A12" s="9" t="n">
        <v>9</v>
      </c>
      <c r="B12" s="9" t="inlineStr">
        <is>
          <t>欣旺达</t>
        </is>
      </c>
      <c r="C12" s="15" t="n">
        <v>43</v>
      </c>
      <c r="D12" s="25" t="n">
        <v>0.0142</v>
      </c>
    </row>
    <row r="13">
      <c r="A13" s="10" t="n">
        <v>10</v>
      </c>
      <c r="B13" s="10" t="inlineStr">
        <is>
          <t>瑞浦兰钧</t>
        </is>
      </c>
      <c r="C13" s="17" t="n">
        <v>42</v>
      </c>
      <c r="D13" s="26" t="n">
        <v>0.0138</v>
      </c>
    </row>
    <row r="14">
      <c r="A14" s="9" t="n">
        <v>11</v>
      </c>
      <c r="B14" s="9" t="inlineStr">
        <is>
          <t>时代一汽</t>
        </is>
      </c>
      <c r="C14" s="15" t="n">
        <v>40</v>
      </c>
      <c r="D14" s="25" t="n">
        <v>0.0132</v>
      </c>
    </row>
    <row r="15">
      <c r="A15" s="10" t="n">
        <v>12</v>
      </c>
      <c r="B15" s="10" t="inlineStr">
        <is>
          <t>中航锂电</t>
        </is>
      </c>
      <c r="C15" s="17" t="n">
        <v>34</v>
      </c>
      <c r="D15" s="26" t="n">
        <v>0.0112</v>
      </c>
    </row>
    <row r="16">
      <c r="A16" s="9" t="n">
        <v>13</v>
      </c>
      <c r="B16" s="9" t="inlineStr">
        <is>
          <t>东昱欣晟</t>
        </is>
      </c>
      <c r="C16" s="15" t="n">
        <v>34</v>
      </c>
      <c r="D16" s="25" t="n">
        <v>0.0112</v>
      </c>
    </row>
    <row r="17">
      <c r="A17" s="10" t="n">
        <v>14</v>
      </c>
      <c r="B17" s="10" t="inlineStr">
        <is>
          <t>时代广汽</t>
        </is>
      </c>
      <c r="C17" s="17" t="n">
        <v>30</v>
      </c>
      <c r="D17" s="20" t="n">
        <v>0.99</v>
      </c>
    </row>
    <row r="18">
      <c r="A18" s="9" t="n">
        <v>15</v>
      </c>
      <c r="B18" s="9" t="inlineStr">
        <is>
          <t>时代吉利</t>
        </is>
      </c>
      <c r="C18" s="15" t="n">
        <v>26</v>
      </c>
      <c r="D18" s="19" t="n">
        <v>0.86</v>
      </c>
    </row>
    <row r="19">
      <c r="A19" s="10" t="n">
        <v>16</v>
      </c>
      <c r="B19" s="10" t="inlineStr">
        <is>
          <t>孚能科技</t>
        </is>
      </c>
      <c r="C19" s="17" t="n">
        <v>26</v>
      </c>
      <c r="D19" s="20" t="n">
        <v>0.86</v>
      </c>
    </row>
    <row r="20">
      <c r="A20" s="9" t="n">
        <v>17</v>
      </c>
      <c r="B20" s="9" t="inlineStr">
        <is>
          <t>贵阳弗迪</t>
        </is>
      </c>
      <c r="C20" s="15" t="n">
        <v>26</v>
      </c>
      <c r="D20" s="19" t="n">
        <v>0.86</v>
      </c>
    </row>
    <row r="21">
      <c r="A21" s="10" t="n">
        <v>18</v>
      </c>
      <c r="B21" s="10" t="inlineStr">
        <is>
          <t>无为弗迪</t>
        </is>
      </c>
      <c r="C21" s="17" t="n">
        <v>24</v>
      </c>
      <c r="D21" s="20" t="n">
        <v>0.79</v>
      </c>
    </row>
    <row r="22">
      <c r="A22" s="9" t="n">
        <v>19</v>
      </c>
      <c r="B22" s="9" t="inlineStr">
        <is>
          <t>四川时代</t>
        </is>
      </c>
      <c r="C22" s="15" t="n">
        <v>23</v>
      </c>
      <c r="D22" s="19" t="n">
        <v>0.76</v>
      </c>
    </row>
    <row r="23">
      <c r="A23" s="10" t="n">
        <v>20</v>
      </c>
      <c r="B23" s="10" t="inlineStr">
        <is>
          <t>衢州极电</t>
        </is>
      </c>
      <c r="C23" s="17" t="n">
        <v>22</v>
      </c>
      <c r="D23" s="20" t="n">
        <v>0.73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264653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12" customWidth="1" min="4" max="4"/>
  </cols>
  <sheetData>
    <row r="1">
      <c r="A1" s="7" t="inlineStr">
        <is>
          <t>电机供应商排名 Top20</t>
        </is>
      </c>
    </row>
    <row r="3">
      <c r="A3" s="8" t="inlineStr">
        <is>
          <t>排名</t>
        </is>
      </c>
      <c r="B3" s="8" t="inlineStr">
        <is>
          <t>供应商</t>
        </is>
      </c>
      <c r="C3" s="8" t="inlineStr">
        <is>
          <t>数量</t>
        </is>
      </c>
      <c r="D3" s="8" t="inlineStr">
        <is>
          <t>占比(%)</t>
        </is>
      </c>
    </row>
    <row r="4">
      <c r="A4" s="9" t="n">
        <v>1</v>
      </c>
      <c r="B4" s="9" t="inlineStr">
        <is>
          <t>联合汽车电子</t>
        </is>
      </c>
      <c r="C4" s="15" t="n">
        <v>216</v>
      </c>
      <c r="D4" s="25" t="n">
        <v>0.08359999999999999</v>
      </c>
    </row>
    <row r="5">
      <c r="A5" s="10" t="n">
        <v>2</v>
      </c>
      <c r="B5" s="10" t="inlineStr">
        <is>
          <t>苏州汇川</t>
        </is>
      </c>
      <c r="C5" s="17" t="n">
        <v>164</v>
      </c>
      <c r="D5" s="26" t="n">
        <v>0.0635</v>
      </c>
    </row>
    <row r="6">
      <c r="A6" s="9" t="n">
        <v>3</v>
      </c>
      <c r="B6" s="9" t="inlineStr">
        <is>
          <t>衢州极电</t>
        </is>
      </c>
      <c r="C6" s="15" t="n">
        <v>73</v>
      </c>
      <c r="D6" s="25" t="n">
        <v>0.0283</v>
      </c>
    </row>
    <row r="7">
      <c r="A7" s="10" t="n">
        <v>4</v>
      </c>
      <c r="B7" s="10" t="inlineStr">
        <is>
          <t>威睿电动</t>
        </is>
      </c>
      <c r="C7" s="17" t="n">
        <v>72</v>
      </c>
      <c r="D7" s="26" t="n">
        <v>0.0279</v>
      </c>
    </row>
    <row r="8">
      <c r="A8" s="9" t="n">
        <v>5</v>
      </c>
      <c r="B8" s="9" t="inlineStr">
        <is>
          <t>方正电机</t>
        </is>
      </c>
      <c r="C8" s="15" t="n">
        <v>72</v>
      </c>
      <c r="D8" s="25" t="n">
        <v>0.0279</v>
      </c>
    </row>
    <row r="9">
      <c r="A9" s="10" t="n">
        <v>6</v>
      </c>
      <c r="B9" s="10" t="inlineStr">
        <is>
          <t>智新科技</t>
        </is>
      </c>
      <c r="C9" s="17" t="n">
        <v>67</v>
      </c>
      <c r="D9" s="26" t="n">
        <v>0.0259</v>
      </c>
    </row>
    <row r="10">
      <c r="A10" s="9" t="n">
        <v>7</v>
      </c>
      <c r="B10" s="9" t="inlineStr">
        <is>
          <t>珠海英搏尔</t>
        </is>
      </c>
      <c r="C10" s="15" t="n">
        <v>66</v>
      </c>
      <c r="D10" s="25" t="n">
        <v>0.0256</v>
      </c>
    </row>
    <row r="11">
      <c r="A11" s="10" t="n">
        <v>8</v>
      </c>
      <c r="B11" s="10" t="inlineStr">
        <is>
          <t>奇瑞新能源</t>
        </is>
      </c>
      <c r="C11" s="17" t="n">
        <v>64</v>
      </c>
      <c r="D11" s="26" t="n">
        <v>0.0248</v>
      </c>
    </row>
    <row r="12">
      <c r="A12" s="9" t="n">
        <v>9</v>
      </c>
      <c r="B12" s="9" t="inlineStr">
        <is>
          <t>锐湃动力</t>
        </is>
      </c>
      <c r="C12" s="15" t="n">
        <v>53</v>
      </c>
      <c r="D12" s="25" t="n">
        <v>0.0205</v>
      </c>
    </row>
    <row r="13">
      <c r="A13" s="10" t="n">
        <v>10</v>
      </c>
      <c r="B13" s="10" t="inlineStr">
        <is>
          <t>华为数字能源</t>
        </is>
      </c>
      <c r="C13" s="17" t="n">
        <v>52</v>
      </c>
      <c r="D13" s="26" t="n">
        <v>0.0201</v>
      </c>
    </row>
    <row r="14">
      <c r="A14" s="9" t="n">
        <v>11</v>
      </c>
      <c r="B14" s="9" t="inlineStr">
        <is>
          <t>中车时代</t>
        </is>
      </c>
      <c r="C14" s="15" t="n">
        <v>49</v>
      </c>
      <c r="D14" s="25" t="n">
        <v>0.019</v>
      </c>
    </row>
    <row r="15">
      <c r="A15" s="10" t="n">
        <v>12</v>
      </c>
      <c r="B15" s="10" t="inlineStr">
        <is>
          <t>金华凌昇动力科技有限公司</t>
        </is>
      </c>
      <c r="C15" s="17" t="n">
        <v>41</v>
      </c>
      <c r="D15" s="26" t="n">
        <v>0.0159</v>
      </c>
    </row>
    <row r="16">
      <c r="A16" s="9" t="n">
        <v>13</v>
      </c>
      <c r="B16" s="9" t="inlineStr">
        <is>
          <t>华域汽车电动系统有限公司</t>
        </is>
      </c>
      <c r="C16" s="15" t="n">
        <v>35</v>
      </c>
      <c r="D16" s="25" t="n">
        <v>0.0136</v>
      </c>
    </row>
    <row r="17">
      <c r="A17" s="10" t="n">
        <v>14</v>
      </c>
      <c r="B17" s="10" t="inlineStr">
        <is>
          <t>柳州赛克科技发展有限公司</t>
        </is>
      </c>
      <c r="C17" s="17" t="n">
        <v>33</v>
      </c>
      <c r="D17" s="26" t="n">
        <v>0.0128</v>
      </c>
    </row>
    <row r="18">
      <c r="A18" s="9" t="n">
        <v>15</v>
      </c>
      <c r="B18" s="9" t="inlineStr">
        <is>
          <t>金华零跑</t>
        </is>
      </c>
      <c r="C18" s="15" t="n">
        <v>31</v>
      </c>
      <c r="D18" s="25" t="n">
        <v>0.012</v>
      </c>
    </row>
    <row r="19">
      <c r="A19" s="10" t="n">
        <v>16</v>
      </c>
      <c r="B19" s="10" t="inlineStr">
        <is>
          <t>南京市比亚迪汽车有限公司</t>
        </is>
      </c>
      <c r="C19" s="17" t="n">
        <v>30</v>
      </c>
      <c r="D19" s="26" t="n">
        <v>0.0116</v>
      </c>
    </row>
    <row r="20">
      <c r="A20" s="9" t="n">
        <v>17</v>
      </c>
      <c r="B20" s="9" t="inlineStr">
        <is>
          <t>菲仕绿能科技（北京）有限公司</t>
        </is>
      </c>
      <c r="C20" s="15" t="n">
        <v>29</v>
      </c>
      <c r="D20" s="25" t="n">
        <v>0.0112</v>
      </c>
    </row>
    <row r="21">
      <c r="A21" s="10" t="n">
        <v>18</v>
      </c>
      <c r="B21" s="10" t="inlineStr">
        <is>
          <t>上海汽车电驱动</t>
        </is>
      </c>
      <c r="C21" s="17" t="n">
        <v>28</v>
      </c>
      <c r="D21" s="26" t="n">
        <v>0.0108</v>
      </c>
    </row>
    <row r="22">
      <c r="A22" s="9" t="n">
        <v>19</v>
      </c>
      <c r="B22" s="9" t="inlineStr">
        <is>
          <t>重庆青山工业有限责任公司</t>
        </is>
      </c>
      <c r="C22" s="15" t="n">
        <v>28</v>
      </c>
      <c r="D22" s="25" t="n">
        <v>0.0108</v>
      </c>
    </row>
    <row r="23">
      <c r="A23" s="10" t="n">
        <v>20</v>
      </c>
      <c r="B23" s="10" t="inlineStr">
        <is>
          <t>无锡星驱动力科技有限公司</t>
        </is>
      </c>
      <c r="C23" s="17" t="n">
        <v>26</v>
      </c>
      <c r="D23" s="26" t="n">
        <v>0.0101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264653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7" t="inlineStr">
        <is>
          <t>电池-电机供应商组合 Top20</t>
        </is>
      </c>
    </row>
    <row r="3">
      <c r="A3" s="8" t="inlineStr">
        <is>
          <t>排名</t>
        </is>
      </c>
      <c r="B3" s="8" t="inlineStr">
        <is>
          <t>电池供应商</t>
        </is>
      </c>
      <c r="C3" s="8" t="inlineStr">
        <is>
          <t>电机供应商</t>
        </is>
      </c>
      <c r="D3" s="8" t="inlineStr">
        <is>
          <t>数量</t>
        </is>
      </c>
    </row>
    <row r="4">
      <c r="A4" s="9" t="n">
        <v>1</v>
      </c>
      <c r="B4" s="9" t="inlineStr">
        <is>
          <t>宁德时代</t>
        </is>
      </c>
      <c r="C4" s="9" t="inlineStr">
        <is>
          <t>联合汽车电子</t>
        </is>
      </c>
      <c r="D4" s="15" t="n">
        <v>56</v>
      </c>
    </row>
    <row r="5">
      <c r="A5" s="10" t="n">
        <v>2</v>
      </c>
      <c r="B5" s="10" t="inlineStr">
        <is>
          <t>中创新航</t>
        </is>
      </c>
      <c r="C5" s="10" t="inlineStr">
        <is>
          <t>苏州汇川</t>
        </is>
      </c>
      <c r="D5" s="17" t="n">
        <v>42</v>
      </c>
    </row>
    <row r="6">
      <c r="A6" s="9" t="n">
        <v>3</v>
      </c>
      <c r="B6" s="9" t="inlineStr">
        <is>
          <t>时代上汽</t>
        </is>
      </c>
      <c r="C6" s="9" t="inlineStr">
        <is>
          <t>联合汽车电子</t>
        </is>
      </c>
      <c r="D6" s="15" t="n">
        <v>26</v>
      </c>
    </row>
    <row r="7">
      <c r="A7" s="10" t="n">
        <v>4</v>
      </c>
      <c r="B7" s="10" t="inlineStr">
        <is>
          <t>蜂巢能源</t>
        </is>
      </c>
      <c r="C7" s="10" t="inlineStr">
        <is>
          <t>联合汽车电子</t>
        </is>
      </c>
      <c r="D7" s="17" t="n">
        <v>22</v>
      </c>
    </row>
    <row r="8">
      <c r="A8" s="9" t="n">
        <v>5</v>
      </c>
      <c r="B8" s="9" t="inlineStr">
        <is>
          <t>江苏时代</t>
        </is>
      </c>
      <c r="C8" s="9" t="inlineStr">
        <is>
          <t>联合汽车电子</t>
        </is>
      </c>
      <c r="D8" s="15" t="n">
        <v>22</v>
      </c>
    </row>
    <row r="9">
      <c r="A9" s="10" t="n">
        <v>6</v>
      </c>
      <c r="B9" s="10" t="inlineStr">
        <is>
          <t>东昱欣晟</t>
        </is>
      </c>
      <c r="C9" s="10" t="inlineStr">
        <is>
          <t>智新科技</t>
        </is>
      </c>
      <c r="D9" s="17" t="n">
        <v>21</v>
      </c>
    </row>
    <row r="10">
      <c r="A10" s="9" t="n">
        <v>7</v>
      </c>
      <c r="B10" s="9" t="inlineStr">
        <is>
          <t>江苏时代</t>
        </is>
      </c>
      <c r="C10" s="9" t="inlineStr">
        <is>
          <t>华为数字能源</t>
        </is>
      </c>
      <c r="D10" s="15" t="n">
        <v>20</v>
      </c>
    </row>
    <row r="11">
      <c r="A11" s="10" t="n">
        <v>8</v>
      </c>
      <c r="B11" s="10" t="inlineStr">
        <is>
          <t>时代上汽</t>
        </is>
      </c>
      <c r="C11" s="10" t="inlineStr">
        <is>
          <t>华域汽车电动系统有限公司</t>
        </is>
      </c>
      <c r="D11" s="17" t="n">
        <v>18</v>
      </c>
    </row>
    <row r="12">
      <c r="A12" s="9" t="n">
        <v>9</v>
      </c>
      <c r="B12" s="9" t="inlineStr">
        <is>
          <t>江苏时代</t>
        </is>
      </c>
      <c r="C12" s="9" t="inlineStr">
        <is>
          <t>奇瑞新能源</t>
        </is>
      </c>
      <c r="D12" s="15" t="n">
        <v>18</v>
      </c>
    </row>
    <row r="13">
      <c r="A13" s="10" t="n">
        <v>10</v>
      </c>
      <c r="B13" s="10" t="inlineStr">
        <is>
          <t>宁德时代</t>
        </is>
      </c>
      <c r="C13" s="10" t="inlineStr">
        <is>
          <t>威睿电动</t>
        </is>
      </c>
      <c r="D13" s="17" t="n">
        <v>18</v>
      </c>
    </row>
    <row r="14">
      <c r="A14" s="9" t="n">
        <v>11</v>
      </c>
      <c r="B14" s="9" t="inlineStr">
        <is>
          <t>亿纬动力</t>
        </is>
      </c>
      <c r="C14" s="9" t="inlineStr">
        <is>
          <t>苏州汇川</t>
        </is>
      </c>
      <c r="D14" s="15" t="n">
        <v>18</v>
      </c>
    </row>
    <row r="15">
      <c r="A15" s="10" t="n">
        <v>12</v>
      </c>
      <c r="B15" s="10" t="inlineStr">
        <is>
          <t>衢州极电</t>
        </is>
      </c>
      <c r="C15" s="10" t="inlineStr">
        <is>
          <t>衢州极电</t>
        </is>
      </c>
      <c r="D15" s="17" t="n">
        <v>17</v>
      </c>
    </row>
    <row r="16">
      <c r="A16" s="9" t="n">
        <v>13</v>
      </c>
      <c r="B16" s="9" t="inlineStr">
        <is>
          <t>国轩高科</t>
        </is>
      </c>
      <c r="C16" s="9" t="inlineStr">
        <is>
          <t>奇瑞新能源</t>
        </is>
      </c>
      <c r="D16" s="15" t="n">
        <v>17</v>
      </c>
    </row>
    <row r="17">
      <c r="A17" s="10" t="n">
        <v>14</v>
      </c>
      <c r="B17" s="10" t="inlineStr">
        <is>
          <t>宁德时代</t>
        </is>
      </c>
      <c r="C17" s="10" t="inlineStr">
        <is>
          <t>苏州汇川</t>
        </is>
      </c>
      <c r="D17" s="17" t="n">
        <v>16</v>
      </c>
    </row>
    <row r="18">
      <c r="A18" s="9" t="n">
        <v>15</v>
      </c>
      <c r="B18" s="9" t="inlineStr">
        <is>
          <t>宁德时代</t>
        </is>
      </c>
      <c r="C18" s="9" t="inlineStr">
        <is>
          <t>中国第一汽车集团有限公司</t>
        </is>
      </c>
      <c r="D18" s="15" t="n">
        <v>15</v>
      </c>
    </row>
    <row r="19">
      <c r="A19" s="10" t="n">
        <v>16</v>
      </c>
      <c r="B19" s="10" t="inlineStr">
        <is>
          <t>时代广汽</t>
        </is>
      </c>
      <c r="C19" s="10" t="inlineStr">
        <is>
          <t>苏州汇川</t>
        </is>
      </c>
      <c r="D19" s="17" t="n">
        <v>14</v>
      </c>
    </row>
    <row r="20">
      <c r="A20" s="9" t="n">
        <v>17</v>
      </c>
      <c r="B20" s="9" t="inlineStr">
        <is>
          <t>时代一汽</t>
        </is>
      </c>
      <c r="C20" s="9" t="inlineStr">
        <is>
          <t>联合汽车电子</t>
        </is>
      </c>
      <c r="D20" s="15" t="n">
        <v>14</v>
      </c>
    </row>
    <row r="21">
      <c r="A21" s="10" t="n">
        <v>18</v>
      </c>
      <c r="B21" s="10" t="inlineStr">
        <is>
          <t>宁德时代</t>
        </is>
      </c>
      <c r="C21" s="10" t="inlineStr">
        <is>
          <t>方正电机</t>
        </is>
      </c>
      <c r="D21" s="17" t="n">
        <v>13</v>
      </c>
    </row>
    <row r="22">
      <c r="A22" s="9" t="n">
        <v>19</v>
      </c>
      <c r="B22" s="9" t="inlineStr">
        <is>
          <t>中创新航</t>
        </is>
      </c>
      <c r="C22" s="9" t="inlineStr">
        <is>
          <t>尼得科汽车马达（浙江）有限公司</t>
        </is>
      </c>
      <c r="D22" s="15" t="n">
        <v>13</v>
      </c>
    </row>
    <row r="23">
      <c r="A23" s="10" t="n">
        <v>20</v>
      </c>
      <c r="B23" s="10" t="inlineStr">
        <is>
          <t>国轩高科</t>
        </is>
      </c>
      <c r="C23" s="10" t="inlineStr">
        <is>
          <t>珠海英搏尔</t>
        </is>
      </c>
      <c r="D23" s="17" t="n">
        <v>13</v>
      </c>
    </row>
    <row r="26">
      <c r="A26" s="7" t="inlineStr">
        <is>
          <t>汇总</t>
        </is>
      </c>
    </row>
    <row r="28">
      <c r="A28" s="11" t="inlineStr">
        <is>
          <t>交叉记录总数</t>
        </is>
      </c>
      <c r="B28" s="12" t="n">
        <v>2109</v>
      </c>
      <c r="C28" s="13" t="n"/>
      <c r="D28" s="13" t="n"/>
      <c r="E28" s="13" t="n"/>
      <c r="F28" s="14" t="n"/>
    </row>
  </sheetData>
  <mergeCells count="3">
    <mergeCell ref="A26:F26"/>
    <mergeCell ref="A1:E1"/>
    <mergeCell ref="B28:F28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电池供应商矩阵</t>
        </is>
      </c>
    </row>
    <row r="3">
      <c r="A3" s="8" t="inlineStr">
        <is>
          <t>品牌</t>
        </is>
      </c>
      <c r="B3" s="8" t="inlineStr">
        <is>
          <t>中创新航</t>
        </is>
      </c>
      <c r="C3" s="8" t="inlineStr">
        <is>
          <t>国轩高科</t>
        </is>
      </c>
      <c r="D3" s="8" t="inlineStr">
        <is>
          <t>宁德时代</t>
        </is>
      </c>
      <c r="E3" s="8" t="inlineStr">
        <is>
          <t>江苏时代</t>
        </is>
      </c>
      <c r="F3" s="8" t="inlineStr">
        <is>
          <t>蜂巢能源</t>
        </is>
      </c>
      <c r="G3" s="8" t="inlineStr">
        <is>
          <t>合计</t>
        </is>
      </c>
    </row>
    <row r="4">
      <c r="A4" s="9" t="inlineStr">
        <is>
          <t>比亚迪牌</t>
        </is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>
      <c r="A5" s="10" t="inlineStr">
        <is>
          <t>埃安(AION)牌</t>
        </is>
      </c>
      <c r="B5" s="17" t="n">
        <v>55</v>
      </c>
      <c r="C5" s="17" t="n">
        <v>5</v>
      </c>
      <c r="D5" s="17" t="n">
        <v>3</v>
      </c>
      <c r="E5" s="17" t="n">
        <v>0</v>
      </c>
      <c r="F5" s="17" t="n">
        <v>0</v>
      </c>
      <c r="G5" s="17" t="n">
        <v>63</v>
      </c>
    </row>
    <row r="6">
      <c r="A6" s="9" t="inlineStr">
        <is>
          <t>长安牌</t>
        </is>
      </c>
      <c r="B6" s="15" t="n">
        <v>29</v>
      </c>
      <c r="C6" s="15" t="n">
        <v>15</v>
      </c>
      <c r="D6" s="15" t="n">
        <v>46</v>
      </c>
      <c r="E6" s="15" t="n">
        <v>10</v>
      </c>
      <c r="F6" s="15" t="n">
        <v>0</v>
      </c>
      <c r="G6" s="15" t="n">
        <v>100</v>
      </c>
    </row>
    <row r="7">
      <c r="A7" s="10" t="inlineStr">
        <is>
          <t>奇瑞牌</t>
        </is>
      </c>
      <c r="B7" s="17" t="n">
        <v>7</v>
      </c>
      <c r="C7" s="17" t="n">
        <v>39</v>
      </c>
      <c r="D7" s="17" t="n">
        <v>5</v>
      </c>
      <c r="E7" s="17" t="n">
        <v>24</v>
      </c>
      <c r="F7" s="17" t="n">
        <v>0</v>
      </c>
      <c r="G7" s="17" t="n">
        <v>75</v>
      </c>
    </row>
    <row r="8">
      <c r="A8" s="9" t="inlineStr">
        <is>
          <t>哪吒牌</t>
        </is>
      </c>
      <c r="B8" s="15" t="n">
        <v>0</v>
      </c>
      <c r="C8" s="15" t="n">
        <v>10</v>
      </c>
      <c r="D8" s="15" t="n">
        <v>29</v>
      </c>
      <c r="E8" s="15" t="n">
        <v>4</v>
      </c>
      <c r="F8" s="15" t="n">
        <v>11</v>
      </c>
      <c r="G8" s="15" t="n">
        <v>54</v>
      </c>
    </row>
    <row r="9">
      <c r="A9" s="10" t="inlineStr">
        <is>
          <t>零跑牌</t>
        </is>
      </c>
      <c r="B9" s="17" t="n">
        <v>17</v>
      </c>
      <c r="C9" s="17" t="n">
        <v>23</v>
      </c>
      <c r="D9" s="17" t="n">
        <v>4</v>
      </c>
      <c r="E9" s="17" t="n">
        <v>2</v>
      </c>
      <c r="F9" s="17" t="n">
        <v>7</v>
      </c>
      <c r="G9" s="17" t="n">
        <v>53</v>
      </c>
    </row>
    <row r="10">
      <c r="A10" s="9" t="inlineStr">
        <is>
          <t>东风牌</t>
        </is>
      </c>
      <c r="B10" s="15" t="n">
        <v>14</v>
      </c>
      <c r="C10" s="15" t="n">
        <v>10</v>
      </c>
      <c r="D10" s="15" t="n">
        <v>6</v>
      </c>
      <c r="E10" s="15" t="n">
        <v>1</v>
      </c>
      <c r="F10" s="15" t="n">
        <v>1</v>
      </c>
      <c r="G10" s="15" t="n">
        <v>32</v>
      </c>
    </row>
    <row r="11">
      <c r="A11" s="10" t="inlineStr">
        <is>
          <t>五菱牌</t>
        </is>
      </c>
      <c r="B11" s="17" t="n">
        <v>0</v>
      </c>
      <c r="C11" s="17" t="n">
        <v>11</v>
      </c>
      <c r="D11" s="17" t="n">
        <v>4</v>
      </c>
      <c r="E11" s="17" t="n">
        <v>1</v>
      </c>
      <c r="F11" s="17" t="n">
        <v>1</v>
      </c>
      <c r="G11" s="17" t="n">
        <v>17</v>
      </c>
    </row>
    <row r="12">
      <c r="A12" s="9" t="inlineStr">
        <is>
          <t>欧拉牌</t>
        </is>
      </c>
      <c r="B12" s="15" t="n">
        <v>0</v>
      </c>
      <c r="C12" s="15" t="n">
        <v>4</v>
      </c>
      <c r="D12" s="15" t="n">
        <v>22</v>
      </c>
      <c r="E12" s="15" t="n">
        <v>6</v>
      </c>
      <c r="F12" s="15" t="n">
        <v>30</v>
      </c>
      <c r="G12" s="15" t="n">
        <v>62</v>
      </c>
    </row>
    <row r="13">
      <c r="A13" s="10" t="inlineStr">
        <is>
          <t>理想牌</t>
        </is>
      </c>
      <c r="B13" s="17" t="n">
        <v>0</v>
      </c>
      <c r="C13" s="17" t="n">
        <v>0</v>
      </c>
      <c r="D13" s="17" t="n">
        <v>41</v>
      </c>
      <c r="E13" s="17" t="n">
        <v>6</v>
      </c>
      <c r="F13" s="17" t="n">
        <v>3</v>
      </c>
      <c r="G13" s="17" t="n">
        <v>50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9A961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</cols>
  <sheetData>
    <row r="1">
      <c r="A1" s="7" t="inlineStr">
        <is>
          <t>品牌 x 电机供应商矩阵</t>
        </is>
      </c>
    </row>
    <row r="3">
      <c r="A3" s="8" t="inlineStr">
        <is>
          <t>品牌</t>
        </is>
      </c>
      <c r="B3" s="8" t="inlineStr">
        <is>
          <t>威睿电动</t>
        </is>
      </c>
      <c r="C3" s="8" t="inlineStr">
        <is>
          <t>方正电机</t>
        </is>
      </c>
      <c r="D3" s="8" t="inlineStr">
        <is>
          <t>联合汽车电子</t>
        </is>
      </c>
      <c r="E3" s="8" t="inlineStr">
        <is>
          <t>苏州汇川</t>
        </is>
      </c>
      <c r="F3" s="8" t="inlineStr">
        <is>
          <t>衢州极电</t>
        </is>
      </c>
      <c r="G3" s="8" t="inlineStr">
        <is>
          <t>合计</t>
        </is>
      </c>
    </row>
    <row r="4">
      <c r="A4" s="9" t="inlineStr">
        <is>
          <t>埃安(AION)牌</t>
        </is>
      </c>
      <c r="B4" s="15" t="n">
        <v>0</v>
      </c>
      <c r="C4" s="15" t="n">
        <v>0</v>
      </c>
      <c r="D4" s="15" t="n">
        <v>0</v>
      </c>
      <c r="E4" s="15" t="n">
        <v>75</v>
      </c>
      <c r="F4" s="15" t="n">
        <v>0</v>
      </c>
      <c r="G4" s="15" t="n">
        <v>75</v>
      </c>
    </row>
    <row r="5">
      <c r="A5" s="10" t="inlineStr">
        <is>
          <t>比亚迪牌</t>
        </is>
      </c>
      <c r="B5" s="17" t="n">
        <v>0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</row>
    <row r="6">
      <c r="A6" s="9" t="inlineStr">
        <is>
          <t>零跑牌</t>
        </is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</row>
    <row r="7">
      <c r="A7" s="10" t="inlineStr">
        <is>
          <t>小鹏牌</t>
        </is>
      </c>
      <c r="B7" s="17" t="n">
        <v>0</v>
      </c>
      <c r="C7" s="17" t="n">
        <v>7</v>
      </c>
      <c r="D7" s="17" t="n">
        <v>0</v>
      </c>
      <c r="E7" s="17" t="n">
        <v>1</v>
      </c>
      <c r="F7" s="17" t="n">
        <v>0</v>
      </c>
      <c r="G7" s="17" t="n">
        <v>8</v>
      </c>
    </row>
    <row r="8">
      <c r="A8" s="9" t="inlineStr">
        <is>
          <t>长安牌</t>
        </is>
      </c>
      <c r="B8" s="15" t="n">
        <v>0</v>
      </c>
      <c r="C8" s="15" t="n">
        <v>0</v>
      </c>
      <c r="D8" s="15" t="n">
        <v>0</v>
      </c>
      <c r="E8" s="15" t="n">
        <v>12</v>
      </c>
      <c r="F8" s="15" t="n">
        <v>0</v>
      </c>
      <c r="G8" s="15" t="n">
        <v>12</v>
      </c>
    </row>
    <row r="9">
      <c r="A9" s="10" t="inlineStr">
        <is>
          <t>奇瑞牌</t>
        </is>
      </c>
      <c r="B9" s="17" t="n">
        <v>0</v>
      </c>
      <c r="C9" s="17" t="n">
        <v>0</v>
      </c>
      <c r="D9" s="17" t="n">
        <v>0</v>
      </c>
      <c r="E9" s="17" t="n">
        <v>3</v>
      </c>
      <c r="F9" s="17" t="n">
        <v>0</v>
      </c>
      <c r="G9" s="17" t="n">
        <v>3</v>
      </c>
    </row>
    <row r="10">
      <c r="A10" s="9" t="inlineStr">
        <is>
          <t>五菱牌</t>
        </is>
      </c>
      <c r="B10" s="15" t="n">
        <v>0</v>
      </c>
      <c r="C10" s="15" t="n">
        <v>26</v>
      </c>
      <c r="D10" s="15" t="n">
        <v>0</v>
      </c>
      <c r="E10" s="15" t="n">
        <v>0</v>
      </c>
      <c r="F10" s="15" t="n">
        <v>0</v>
      </c>
      <c r="G10" s="15" t="n">
        <v>26</v>
      </c>
    </row>
    <row r="11">
      <c r="A11" s="10" t="inlineStr">
        <is>
          <t>哪吒牌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</row>
    <row r="12">
      <c r="A12" s="9" t="inlineStr">
        <is>
          <t>极氪牌</t>
        </is>
      </c>
      <c r="B12" s="15" t="n">
        <v>24</v>
      </c>
      <c r="C12" s="15" t="n">
        <v>0</v>
      </c>
      <c r="D12" s="15" t="n">
        <v>0</v>
      </c>
      <c r="E12" s="15" t="n">
        <v>0</v>
      </c>
      <c r="F12" s="15" t="n">
        <v>45</v>
      </c>
      <c r="G12" s="15" t="n">
        <v>69</v>
      </c>
    </row>
    <row r="13">
      <c r="A13" s="10" t="inlineStr">
        <is>
          <t>欧拉牌</t>
        </is>
      </c>
      <c r="B13" s="17" t="n">
        <v>0</v>
      </c>
      <c r="C13" s="17" t="n">
        <v>0</v>
      </c>
      <c r="D13" s="17" t="n">
        <v>45</v>
      </c>
      <c r="E13" s="17" t="n">
        <v>0</v>
      </c>
      <c r="F13" s="17" t="n">
        <v>0</v>
      </c>
      <c r="G13" s="17" t="n">
        <v>45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tabColor rgb="002A9D8F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BEV细分市场汇总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467</v>
      </c>
      <c r="C4" s="16" t="n">
        <v>533.3</v>
      </c>
      <c r="D4" s="19" t="n">
        <v>67.08</v>
      </c>
      <c r="E4" s="16" t="n">
        <v>159.8</v>
      </c>
      <c r="F4" s="16" t="n">
        <v>1878.7</v>
      </c>
    </row>
    <row r="5">
      <c r="A5" s="10" t="inlineStr">
        <is>
          <t>SUV-D</t>
        </is>
      </c>
      <c r="B5" s="17" t="n">
        <v>343</v>
      </c>
      <c r="C5" s="18" t="n">
        <v>631.3</v>
      </c>
      <c r="D5" s="20" t="n">
        <v>86.86</v>
      </c>
      <c r="E5" s="18" t="n">
        <v>193.8</v>
      </c>
      <c r="F5" s="18" t="n">
        <v>2265.4</v>
      </c>
    </row>
    <row r="6">
      <c r="A6" s="9" t="inlineStr">
        <is>
          <t>未知</t>
        </is>
      </c>
      <c r="B6" s="15" t="n">
        <v>528</v>
      </c>
      <c r="C6" s="16" t="n">
        <v>390</v>
      </c>
      <c r="D6" s="19" t="n">
        <v>54.74</v>
      </c>
      <c r="E6" s="16" t="n">
        <v>134.4</v>
      </c>
      <c r="F6" s="16" t="n">
        <v>1735.4</v>
      </c>
    </row>
    <row r="7">
      <c r="A7" s="10" t="inlineStr">
        <is>
          <t>CAR-D</t>
        </is>
      </c>
      <c r="B7" s="17" t="n">
        <v>386</v>
      </c>
      <c r="C7" s="18" t="n">
        <v>647.8</v>
      </c>
      <c r="D7" s="20" t="n">
        <v>79.79000000000001</v>
      </c>
      <c r="E7" s="18" t="n">
        <v>202.1</v>
      </c>
      <c r="F7" s="18" t="n">
        <v>2080.2</v>
      </c>
    </row>
    <row r="8">
      <c r="A8" s="9" t="inlineStr">
        <is>
          <t>CAR-C</t>
        </is>
      </c>
      <c r="B8" s="15" t="n">
        <v>350</v>
      </c>
      <c r="C8" s="16" t="n">
        <v>497.6</v>
      </c>
      <c r="D8" s="19" t="n">
        <v>56.85</v>
      </c>
      <c r="E8" s="16" t="n">
        <v>141.8</v>
      </c>
      <c r="F8" s="16" t="n">
        <v>1673.3</v>
      </c>
    </row>
    <row r="9">
      <c r="A9" s="10" t="inlineStr">
        <is>
          <t>CAR-A</t>
        </is>
      </c>
      <c r="B9" s="17" t="n">
        <v>232</v>
      </c>
      <c r="C9" s="18" t="n">
        <v>228.5</v>
      </c>
      <c r="D9" s="20" t="n">
        <v>20.58</v>
      </c>
      <c r="E9" s="18" t="n">
        <v>76.09999999999999</v>
      </c>
      <c r="F9" s="18" t="n">
        <v>855.5</v>
      </c>
    </row>
    <row r="10">
      <c r="A10" s="9" t="inlineStr">
        <is>
          <t>CAR-B</t>
        </is>
      </c>
      <c r="B10" s="15" t="n">
        <v>141</v>
      </c>
      <c r="C10" s="16" t="n">
        <v>377.5</v>
      </c>
      <c r="D10" s="19" t="n">
        <v>39.68</v>
      </c>
      <c r="E10" s="16" t="n">
        <v>125.5</v>
      </c>
      <c r="F10" s="16" t="n">
        <v>1303.9</v>
      </c>
    </row>
    <row r="11">
      <c r="A11" s="10" t="inlineStr">
        <is>
          <t>MPV-D</t>
        </is>
      </c>
      <c r="B11" s="17" t="n">
        <v>59</v>
      </c>
      <c r="C11" s="18" t="n">
        <v>626.6</v>
      </c>
      <c r="D11" s="20" t="n">
        <v>97.12</v>
      </c>
      <c r="E11" s="18" t="n">
        <v>188.2</v>
      </c>
      <c r="F11" s="18" t="n">
        <v>2641.1</v>
      </c>
    </row>
    <row r="12">
      <c r="A12" s="9" t="inlineStr">
        <is>
          <t>SUV-B</t>
        </is>
      </c>
      <c r="B12" s="15" t="n">
        <v>112</v>
      </c>
      <c r="C12" s="16" t="n">
        <v>448.4</v>
      </c>
      <c r="D12" s="19" t="n">
        <v>52.08</v>
      </c>
      <c r="E12" s="16" t="n">
        <v>123.1</v>
      </c>
      <c r="F12" s="16" t="n">
        <v>1512.2</v>
      </c>
    </row>
    <row r="13">
      <c r="A13" s="10" t="inlineStr">
        <is>
          <t>LUXSUV-3</t>
        </is>
      </c>
      <c r="B13" s="17" t="n">
        <v>59</v>
      </c>
      <c r="C13" s="18" t="n">
        <v>603.2</v>
      </c>
      <c r="D13" s="20" t="n">
        <v>85.54000000000001</v>
      </c>
      <c r="E13" s="18" t="n">
        <v>164.9</v>
      </c>
      <c r="F13" s="18" t="n">
        <v>2298.3</v>
      </c>
    </row>
    <row r="14">
      <c r="A14" s="9" t="inlineStr">
        <is>
          <t>MPV</t>
        </is>
      </c>
      <c r="B14" s="15" t="n">
        <v>39</v>
      </c>
      <c r="C14" s="16" t="n">
        <v>360.6</v>
      </c>
      <c r="D14" s="19" t="n">
        <v>59.71</v>
      </c>
      <c r="E14" s="16" t="n">
        <v>125.7</v>
      </c>
      <c r="F14" s="16" t="n">
        <v>1977.9</v>
      </c>
    </row>
    <row r="15">
      <c r="A15" s="10" t="inlineStr">
        <is>
          <t>LUXCAR-3</t>
        </is>
      </c>
      <c r="B15" s="17" t="n">
        <v>45</v>
      </c>
      <c r="C15" s="18" t="n">
        <v>583.6</v>
      </c>
      <c r="D15" s="20" t="n">
        <v>78.48</v>
      </c>
      <c r="E15" s="18" t="n">
        <v>199.4</v>
      </c>
      <c r="F15" s="18" t="n">
        <v>2060.5</v>
      </c>
    </row>
    <row r="16">
      <c r="A16" s="9" t="inlineStr">
        <is>
          <t>LUXSUV-2</t>
        </is>
      </c>
      <c r="B16" s="15" t="n">
        <v>33</v>
      </c>
      <c r="C16" s="16" t="n">
        <v>566.1</v>
      </c>
      <c r="D16" s="19" t="n">
        <v>75.48999999999999</v>
      </c>
      <c r="E16" s="16" t="n">
        <v>203.3</v>
      </c>
      <c r="F16" s="16" t="n">
        <v>2124.2</v>
      </c>
    </row>
    <row r="17">
      <c r="A17" s="10" t="inlineStr">
        <is>
          <t>SUV-E</t>
        </is>
      </c>
      <c r="B17" s="17" t="n">
        <v>11</v>
      </c>
      <c r="C17" s="18" t="n">
        <v>601.8</v>
      </c>
      <c r="D17" s="20" t="n">
        <v>91.91</v>
      </c>
      <c r="E17" s="18" t="inlineStr"/>
      <c r="F17" s="18" t="n">
        <v>2540</v>
      </c>
    </row>
    <row r="18">
      <c r="A18" s="9" t="inlineStr">
        <is>
          <t>LUXCAR-4</t>
        </is>
      </c>
      <c r="B18" s="15" t="n">
        <v>17</v>
      </c>
      <c r="C18" s="16" t="n">
        <v>633.8</v>
      </c>
      <c r="D18" s="19" t="n">
        <v>92.61</v>
      </c>
      <c r="E18" s="16" t="n">
        <v>231.5</v>
      </c>
      <c r="F18" s="16" t="n">
        <v>2329.8</v>
      </c>
    </row>
    <row r="19">
      <c r="A19" s="10" t="inlineStr">
        <is>
          <t>LUXCAR</t>
        </is>
      </c>
      <c r="B19" s="17" t="n">
        <v>14</v>
      </c>
      <c r="C19" s="18" t="n">
        <v>692.8</v>
      </c>
      <c r="D19" s="20" t="n">
        <v>94.65000000000001</v>
      </c>
      <c r="E19" s="18" t="n">
        <v>220.5</v>
      </c>
      <c r="F19" s="18" t="n">
        <v>2500.1</v>
      </c>
    </row>
    <row r="20">
      <c r="A20" s="9" t="inlineStr">
        <is>
          <t>LUXCAR-2</t>
        </is>
      </c>
      <c r="B20" s="15" t="n">
        <v>22</v>
      </c>
      <c r="C20" s="16" t="n">
        <v>565</v>
      </c>
      <c r="D20" s="19" t="n">
        <v>68.28</v>
      </c>
      <c r="E20" s="16" t="n">
        <v>228.6</v>
      </c>
      <c r="F20" s="16" t="n">
        <v>1963.5</v>
      </c>
    </row>
    <row r="21">
      <c r="A21" s="10" t="inlineStr">
        <is>
          <t>LUXSUV</t>
        </is>
      </c>
      <c r="B21" s="17" t="n">
        <v>18</v>
      </c>
      <c r="C21" s="18" t="n">
        <v>695.7</v>
      </c>
      <c r="D21" s="20" t="n">
        <v>104.14</v>
      </c>
      <c r="E21" s="18" t="n">
        <v>186.7</v>
      </c>
      <c r="F21" s="18" t="n">
        <v>2677.8</v>
      </c>
    </row>
    <row r="22">
      <c r="A22" s="9" t="inlineStr">
        <is>
          <t>MPV-C</t>
        </is>
      </c>
      <c r="B22" s="15" t="n">
        <v>10</v>
      </c>
      <c r="C22" s="16" t="n">
        <v>479.4</v>
      </c>
      <c r="D22" s="19" t="n">
        <v>70.70999999999999</v>
      </c>
      <c r="E22" s="16" t="n">
        <v>153.3</v>
      </c>
      <c r="F22" s="16" t="n">
        <v>2128.9</v>
      </c>
    </row>
    <row r="23">
      <c r="A23" s="10" t="inlineStr">
        <is>
          <t>LUXSUV-4</t>
        </is>
      </c>
      <c r="B23" s="17" t="n">
        <v>18</v>
      </c>
      <c r="C23" s="18" t="n">
        <v>621.6</v>
      </c>
      <c r="D23" s="20" t="n">
        <v>101.36</v>
      </c>
      <c r="E23" s="18" t="n">
        <v>160</v>
      </c>
      <c r="F23" s="18" t="n">
        <v>2503.6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tabColor rgb="002A9D8F"/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7" t="inlineStr">
        <is>
          <t>PHEV细分市场汇总</t>
        </is>
      </c>
    </row>
    <row r="3">
      <c r="A3" s="8" t="inlineStr">
        <is>
          <t>细分市场</t>
        </is>
      </c>
      <c r="B3" s="8" t="inlineStr">
        <is>
          <t>样本数</t>
        </is>
      </c>
      <c r="C3" s="8" t="inlineStr">
        <is>
          <t>平均续航(km)</t>
        </is>
      </c>
      <c r="D3" s="8" t="inlineStr">
        <is>
          <t>平均容量(kWh)</t>
        </is>
      </c>
      <c r="E3" s="8" t="inlineStr">
        <is>
          <t>平均功率(kW)</t>
        </is>
      </c>
      <c r="F3" s="8" t="inlineStr">
        <is>
          <t>平均整备质量(kg)</t>
        </is>
      </c>
    </row>
    <row r="4">
      <c r="A4" s="9" t="inlineStr">
        <is>
          <t>SUV-C</t>
        </is>
      </c>
      <c r="B4" s="15" t="n">
        <v>459</v>
      </c>
      <c r="C4" s="16" t="n">
        <v>120.8</v>
      </c>
      <c r="D4" s="19" t="n">
        <v>25.39</v>
      </c>
      <c r="E4" s="16" t="n">
        <v>138.3</v>
      </c>
      <c r="F4" s="16" t="n">
        <v>1981.9</v>
      </c>
    </row>
    <row r="5">
      <c r="A5" s="10" t="inlineStr">
        <is>
          <t>SUV-D</t>
        </is>
      </c>
      <c r="B5" s="17" t="n">
        <v>379</v>
      </c>
      <c r="C5" s="18" t="n">
        <v>181.2</v>
      </c>
      <c r="D5" s="20" t="n">
        <v>41.52</v>
      </c>
      <c r="E5" s="18" t="n">
        <v>183.6</v>
      </c>
      <c r="F5" s="18" t="n">
        <v>2419.6</v>
      </c>
    </row>
    <row r="6">
      <c r="A6" s="9" t="inlineStr">
        <is>
          <t>未知</t>
        </is>
      </c>
      <c r="B6" s="15" t="n">
        <v>143</v>
      </c>
      <c r="C6" s="16" t="n">
        <v>136.5</v>
      </c>
      <c r="D6" s="19" t="n">
        <v>29.02</v>
      </c>
      <c r="E6" s="16" t="n">
        <v>151.1</v>
      </c>
      <c r="F6" s="16" t="n">
        <v>2097.9</v>
      </c>
    </row>
    <row r="7">
      <c r="A7" s="10" t="inlineStr">
        <is>
          <t>CAR-D</t>
        </is>
      </c>
      <c r="B7" s="17" t="n">
        <v>118</v>
      </c>
      <c r="C7" s="18" t="n">
        <v>162.4</v>
      </c>
      <c r="D7" s="20" t="n">
        <v>30.64</v>
      </c>
      <c r="E7" s="18" t="n">
        <v>160</v>
      </c>
      <c r="F7" s="18" t="n">
        <v>2022.4</v>
      </c>
    </row>
    <row r="8">
      <c r="A8" s="9" t="inlineStr">
        <is>
          <t>CAR-C</t>
        </is>
      </c>
      <c r="B8" s="15" t="n">
        <v>146</v>
      </c>
      <c r="C8" s="16" t="n">
        <v>105.8</v>
      </c>
      <c r="D8" s="19" t="n">
        <v>18.31</v>
      </c>
      <c r="E8" s="16" t="n">
        <v>144.6</v>
      </c>
      <c r="F8" s="16" t="n">
        <v>1676.1</v>
      </c>
    </row>
    <row r="9">
      <c r="A9" s="10" t="inlineStr">
        <is>
          <t>MPV-D</t>
        </is>
      </c>
      <c r="B9" s="17" t="n">
        <v>72</v>
      </c>
      <c r="C9" s="18" t="n">
        <v>164.8</v>
      </c>
      <c r="D9" s="20" t="n">
        <v>39.12</v>
      </c>
      <c r="E9" s="18" t="n">
        <v>158.1</v>
      </c>
      <c r="F9" s="18" t="n">
        <v>2590.3</v>
      </c>
    </row>
    <row r="10">
      <c r="A10" s="9" t="inlineStr">
        <is>
          <t>SUV-B</t>
        </is>
      </c>
      <c r="B10" s="15" t="n">
        <v>11</v>
      </c>
      <c r="C10" s="16" t="n">
        <v>72.7</v>
      </c>
      <c r="D10" s="19" t="n">
        <v>15.84</v>
      </c>
      <c r="E10" s="16" t="n">
        <v>115</v>
      </c>
      <c r="F10" s="16" t="n">
        <v>1675.5</v>
      </c>
    </row>
    <row r="11">
      <c r="A11" s="10" t="inlineStr">
        <is>
          <t>MPV</t>
        </is>
      </c>
      <c r="B11" s="17" t="n">
        <v>11</v>
      </c>
      <c r="C11" s="18" t="n">
        <v>89</v>
      </c>
      <c r="D11" s="20" t="n">
        <v>21.04</v>
      </c>
      <c r="E11" s="18" t="n">
        <v>171</v>
      </c>
      <c r="F11" s="18" t="n">
        <v>2109.2</v>
      </c>
    </row>
    <row r="12">
      <c r="A12" s="9" t="inlineStr">
        <is>
          <t>SUV-E</t>
        </is>
      </c>
      <c r="B12" s="15" t="n">
        <v>21</v>
      </c>
      <c r="C12" s="16" t="n">
        <v>182.4</v>
      </c>
      <c r="D12" s="19" t="n">
        <v>43.5</v>
      </c>
      <c r="E12" s="16" t="n">
        <v>180.2</v>
      </c>
      <c r="F12" s="16" t="n">
        <v>2706.9</v>
      </c>
    </row>
    <row r="13">
      <c r="A13" s="10" t="inlineStr">
        <is>
          <t>LUXCAR-4</t>
        </is>
      </c>
      <c r="B13" s="17" t="n">
        <v>10</v>
      </c>
      <c r="C13" s="18" t="n">
        <v>146.9</v>
      </c>
      <c r="D13" s="20" t="n">
        <v>33.23</v>
      </c>
      <c r="E13" s="18" t="n">
        <v>184</v>
      </c>
      <c r="F13" s="18" t="n">
        <v>2353.1</v>
      </c>
    </row>
    <row r="14">
      <c r="A14" s="9" t="inlineStr">
        <is>
          <t>MPV-C</t>
        </is>
      </c>
      <c r="B14" s="15" t="n">
        <v>11</v>
      </c>
      <c r="C14" s="16" t="n">
        <v>97.8</v>
      </c>
      <c r="D14" s="19" t="n">
        <v>22.66</v>
      </c>
      <c r="E14" s="16" t="n">
        <v>158</v>
      </c>
      <c r="F14" s="16" t="n">
        <v>2092.6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tabColor rgb="002A9D8F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</cols>
  <sheetData>
    <row r="1">
      <c r="A1" s="7" t="inlineStr">
        <is>
          <t>BEV细分市场续航对比 2023 vs 2025</t>
        </is>
      </c>
    </row>
    <row r="3">
      <c r="A3" s="8" t="inlineStr">
        <is>
          <t>细分市场</t>
        </is>
      </c>
      <c r="B3" s="8" t="inlineStr">
        <is>
          <t>2023续航(km)</t>
        </is>
      </c>
      <c r="C3" s="8" t="inlineStr">
        <is>
          <t>2025续航(km)</t>
        </is>
      </c>
      <c r="D3" s="8" t="inlineStr">
        <is>
          <t>增长(km)</t>
        </is>
      </c>
      <c r="E3" s="8" t="inlineStr">
        <is>
          <t>增长率(%)</t>
        </is>
      </c>
    </row>
    <row r="4">
      <c r="A4" s="9" t="inlineStr">
        <is>
          <t>SUV-C</t>
        </is>
      </c>
      <c r="B4" s="16" t="n">
        <v>541.63</v>
      </c>
      <c r="C4" s="16" t="n">
        <v>576.85</v>
      </c>
      <c r="D4" s="16" t="n">
        <v>35.2</v>
      </c>
      <c r="E4" s="16" t="n">
        <v>6.5</v>
      </c>
    </row>
    <row r="5">
      <c r="A5" s="10" t="inlineStr">
        <is>
          <t>SUV-D</t>
        </is>
      </c>
      <c r="B5" s="18" t="n">
        <v>616.15</v>
      </c>
      <c r="C5" s="18" t="n">
        <v>681.97</v>
      </c>
      <c r="D5" s="18" t="n">
        <v>65.8</v>
      </c>
      <c r="E5" s="18" t="n">
        <v>10.7</v>
      </c>
    </row>
    <row r="6">
      <c r="A6" s="9" t="inlineStr">
        <is>
          <t>未知</t>
        </is>
      </c>
      <c r="B6" s="16" t="n">
        <v>365.28</v>
      </c>
      <c r="C6" s="16" t="n">
        <v>632.92</v>
      </c>
      <c r="D6" s="16" t="n">
        <v>267.6</v>
      </c>
      <c r="E6" s="16" t="n">
        <v>73.3</v>
      </c>
    </row>
    <row r="7">
      <c r="A7" s="10" t="inlineStr">
        <is>
          <t>CAR-D</t>
        </is>
      </c>
      <c r="B7" s="18" t="n">
        <v>635.51</v>
      </c>
      <c r="C7" s="18" t="n">
        <v>709.4</v>
      </c>
      <c r="D7" s="18" t="n">
        <v>73.90000000000001</v>
      </c>
      <c r="E7" s="18" t="n">
        <v>11.6</v>
      </c>
    </row>
    <row r="8">
      <c r="A8" s="9" t="inlineStr">
        <is>
          <t>CAR-C</t>
        </is>
      </c>
      <c r="B8" s="16" t="n">
        <v>522.64</v>
      </c>
      <c r="C8" s="16" t="n">
        <v>531.47</v>
      </c>
      <c r="D8" s="16" t="n">
        <v>8.800000000000001</v>
      </c>
      <c r="E8" s="16" t="n">
        <v>1.7</v>
      </c>
    </row>
    <row r="9">
      <c r="A9" s="10" t="inlineStr">
        <is>
          <t>CAR-A</t>
        </is>
      </c>
      <c r="B9" s="18" t="n">
        <v>227.4</v>
      </c>
      <c r="C9" s="18" t="n">
        <v>244.44</v>
      </c>
      <c r="D9" s="18" t="n">
        <v>17</v>
      </c>
      <c r="E9" s="18" t="n">
        <v>7.5</v>
      </c>
    </row>
    <row r="10">
      <c r="A10" s="9" t="inlineStr">
        <is>
          <t>CAR-B</t>
        </is>
      </c>
      <c r="B10" s="16" t="n">
        <v>361.97</v>
      </c>
      <c r="C10" s="16" t="n">
        <v>404.1</v>
      </c>
      <c r="D10" s="16" t="n">
        <v>42.1</v>
      </c>
      <c r="E10" s="16" t="n">
        <v>11.6</v>
      </c>
    </row>
    <row r="11">
      <c r="A11" s="10" t="inlineStr">
        <is>
          <t>MPV-D</t>
        </is>
      </c>
      <c r="B11" s="18" t="n">
        <v>659.36</v>
      </c>
      <c r="C11" s="18" t="n">
        <v>578.8</v>
      </c>
      <c r="D11" s="18" t="n">
        <v>-80.59999999999999</v>
      </c>
      <c r="E11" s="18" t="n">
        <v>-12.2</v>
      </c>
    </row>
    <row r="12">
      <c r="A12" s="9" t="inlineStr">
        <is>
          <t>SUV-B</t>
        </is>
      </c>
      <c r="B12" s="16" t="n">
        <v>442.1</v>
      </c>
      <c r="C12" s="16" t="n">
        <v>433.91</v>
      </c>
      <c r="D12" s="16" t="n">
        <v>-8.199999999999999</v>
      </c>
      <c r="E12" s="16" t="n">
        <v>-1.9</v>
      </c>
    </row>
    <row r="13">
      <c r="A13" s="10" t="inlineStr">
        <is>
          <t>LUXSUV-3</t>
        </is>
      </c>
      <c r="B13" s="18" t="n">
        <v>621.52</v>
      </c>
      <c r="C13" s="10" t="inlineStr"/>
      <c r="D13" s="10" t="inlineStr"/>
      <c r="E13" s="10" t="inlineStr"/>
    </row>
    <row r="14">
      <c r="A14" s="9" t="inlineStr">
        <is>
          <t>MPV</t>
        </is>
      </c>
      <c r="B14" s="16" t="n">
        <v>371</v>
      </c>
      <c r="C14" s="9" t="inlineStr"/>
      <c r="D14" s="9" t="inlineStr"/>
      <c r="E14" s="9" t="inlineStr"/>
    </row>
    <row r="15">
      <c r="A15" s="10" t="inlineStr">
        <is>
          <t>LUXCAR-3</t>
        </is>
      </c>
      <c r="B15" s="18" t="n">
        <v>592.88</v>
      </c>
      <c r="C15" s="10" t="inlineStr"/>
      <c r="D15" s="10" t="inlineStr"/>
      <c r="E15" s="10" t="inlineStr"/>
    </row>
    <row r="16">
      <c r="A16" s="9" t="inlineStr">
        <is>
          <t>LUXSUV-2</t>
        </is>
      </c>
      <c r="B16" s="16" t="n">
        <v>578.16</v>
      </c>
      <c r="C16" s="9" t="inlineStr"/>
      <c r="D16" s="9" t="inlineStr"/>
      <c r="E16" s="9" t="inlineStr"/>
    </row>
    <row r="17">
      <c r="A17" s="10" t="inlineStr">
        <is>
          <t>SUV-E</t>
        </is>
      </c>
      <c r="B17" s="18" t="n">
        <v>580.83</v>
      </c>
      <c r="C17" s="10" t="inlineStr"/>
      <c r="D17" s="10" t="inlineStr"/>
      <c r="E17" s="10" t="inlineStr"/>
    </row>
    <row r="18">
      <c r="A18" s="9" t="inlineStr">
        <is>
          <t>LUXCAR-4</t>
        </is>
      </c>
      <c r="B18" s="16" t="n">
        <v>650</v>
      </c>
      <c r="C18" s="9" t="inlineStr"/>
      <c r="D18" s="9" t="inlineStr"/>
      <c r="E18" s="9" t="inlineStr"/>
    </row>
    <row r="19">
      <c r="A19" s="10" t="inlineStr">
        <is>
          <t>LUXCAR</t>
        </is>
      </c>
      <c r="B19" s="10" t="inlineStr"/>
      <c r="C19" s="18" t="n">
        <v>711.46</v>
      </c>
      <c r="D19" s="10" t="inlineStr"/>
      <c r="E19" s="10" t="inlineStr"/>
    </row>
    <row r="20">
      <c r="A20" s="9" t="inlineStr">
        <is>
          <t>LUXCAR-2</t>
        </is>
      </c>
      <c r="B20" s="16" t="n">
        <v>602.83</v>
      </c>
      <c r="C20" s="16" t="n">
        <v>866</v>
      </c>
      <c r="D20" s="16" t="n">
        <v>263.2</v>
      </c>
      <c r="E20" s="16" t="n">
        <v>43.7</v>
      </c>
    </row>
    <row r="21">
      <c r="A21" s="10" t="inlineStr">
        <is>
          <t>LUXSUV</t>
        </is>
      </c>
      <c r="B21" s="10" t="inlineStr"/>
      <c r="C21" s="18" t="n">
        <v>695.71</v>
      </c>
      <c r="D21" s="10" t="inlineStr"/>
      <c r="E21" s="10" t="inlineStr"/>
    </row>
    <row r="22">
      <c r="A22" s="9" t="inlineStr">
        <is>
          <t>MPV-C</t>
        </is>
      </c>
      <c r="B22" s="16" t="n">
        <v>548.4</v>
      </c>
      <c r="C22" s="16" t="n">
        <v>520</v>
      </c>
      <c r="D22" s="16" t="n">
        <v>-28.4</v>
      </c>
      <c r="E22" s="16" t="n">
        <v>-5.2</v>
      </c>
    </row>
    <row r="23">
      <c r="A23" s="10" t="inlineStr">
        <is>
          <t>LUXSUV-4</t>
        </is>
      </c>
      <c r="B23" s="18" t="n">
        <v>630</v>
      </c>
      <c r="C23" s="10" t="inlineStr"/>
      <c r="D23" s="10" t="inlineStr"/>
      <c r="E23" s="10" t="inlineStr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tabColor rgb="002A9D8F"/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</cols>
  <sheetData>
    <row r="1">
      <c r="A1" s="7" t="inlineStr">
        <is>
          <t>BEV细分市场容量对比 2023 vs 2025</t>
        </is>
      </c>
    </row>
    <row r="3">
      <c r="A3" s="8" t="inlineStr">
        <is>
          <t>细分市场</t>
        </is>
      </c>
      <c r="B3" s="8" t="inlineStr">
        <is>
          <t>2023容量(kWh)</t>
        </is>
      </c>
      <c r="C3" s="8" t="inlineStr">
        <is>
          <t>2025容量(kWh)</t>
        </is>
      </c>
      <c r="D3" s="8" t="inlineStr">
        <is>
          <t>增长(kWh)</t>
        </is>
      </c>
      <c r="E3" s="8" t="inlineStr">
        <is>
          <t>增长率(%)</t>
        </is>
      </c>
    </row>
    <row r="4">
      <c r="A4" s="9" t="inlineStr">
        <is>
          <t>SUV-C</t>
        </is>
      </c>
      <c r="B4" s="19" t="n">
        <v>69.40000000000001</v>
      </c>
      <c r="C4" s="19" t="n">
        <v>67.23</v>
      </c>
      <c r="D4" s="19" t="n">
        <v>-2.17</v>
      </c>
      <c r="E4" s="16" t="n">
        <v>-3.1</v>
      </c>
    </row>
    <row r="5">
      <c r="A5" s="10" t="inlineStr">
        <is>
          <t>SUV-D</t>
        </is>
      </c>
      <c r="B5" s="20" t="n">
        <v>84.94</v>
      </c>
      <c r="C5" s="20" t="n">
        <v>91.23999999999999</v>
      </c>
      <c r="D5" s="20" t="n">
        <v>6.3</v>
      </c>
      <c r="E5" s="18" t="n">
        <v>7.4</v>
      </c>
    </row>
    <row r="6">
      <c r="A6" s="9" t="inlineStr">
        <is>
          <t>未知</t>
        </is>
      </c>
      <c r="B6" s="19" t="n">
        <v>54.47</v>
      </c>
      <c r="C6" s="19" t="n">
        <v>75.34</v>
      </c>
      <c r="D6" s="19" t="n">
        <v>20.87</v>
      </c>
      <c r="E6" s="16" t="n">
        <v>38.3</v>
      </c>
    </row>
    <row r="7">
      <c r="A7" s="10" t="inlineStr">
        <is>
          <t>CAR-D</t>
        </is>
      </c>
      <c r="B7" s="20" t="n">
        <v>80.88</v>
      </c>
      <c r="C7" s="20" t="n">
        <v>83.59999999999999</v>
      </c>
      <c r="D7" s="20" t="n">
        <v>2.72</v>
      </c>
      <c r="E7" s="18" t="n">
        <v>3.4</v>
      </c>
    </row>
    <row r="8">
      <c r="A8" s="9" t="inlineStr">
        <is>
          <t>CAR-C</t>
        </is>
      </c>
      <c r="B8" s="19" t="n">
        <v>61.6</v>
      </c>
      <c r="C8" s="19" t="n">
        <v>55.3</v>
      </c>
      <c r="D8" s="19" t="n">
        <v>-6.3</v>
      </c>
      <c r="E8" s="16" t="n">
        <v>-10.2</v>
      </c>
    </row>
    <row r="9">
      <c r="A9" s="10" t="inlineStr">
        <is>
          <t>CAR-A</t>
        </is>
      </c>
      <c r="B9" s="20" t="n">
        <v>20.26</v>
      </c>
      <c r="C9" s="20" t="n">
        <v>20.43</v>
      </c>
      <c r="D9" s="20" t="n">
        <v>0.17</v>
      </c>
      <c r="E9" s="18" t="n">
        <v>0.8</v>
      </c>
    </row>
    <row r="10">
      <c r="A10" s="9" t="inlineStr">
        <is>
          <t>CAR-B</t>
        </is>
      </c>
      <c r="B10" s="19" t="n">
        <v>38.51</v>
      </c>
      <c r="C10" s="19" t="n">
        <v>40.34</v>
      </c>
      <c r="D10" s="19" t="n">
        <v>1.83</v>
      </c>
      <c r="E10" s="16" t="n">
        <v>4.8</v>
      </c>
    </row>
    <row r="11">
      <c r="A11" s="10" t="inlineStr">
        <is>
          <t>MPV-D</t>
        </is>
      </c>
      <c r="B11" s="20" t="n">
        <v>105.56</v>
      </c>
      <c r="C11" s="20" t="n">
        <v>89.42</v>
      </c>
      <c r="D11" s="20" t="n">
        <v>-16.14</v>
      </c>
      <c r="E11" s="18" t="n">
        <v>-15.3</v>
      </c>
    </row>
    <row r="12">
      <c r="A12" s="9" t="inlineStr">
        <is>
          <t>SUV-B</t>
        </is>
      </c>
      <c r="B12" s="19" t="n">
        <v>51.14</v>
      </c>
      <c r="C12" s="19" t="n">
        <v>45.27</v>
      </c>
      <c r="D12" s="19" t="n">
        <v>-5.87</v>
      </c>
      <c r="E12" s="16" t="n">
        <v>-11.5</v>
      </c>
    </row>
    <row r="13">
      <c r="A13" s="10" t="inlineStr">
        <is>
          <t>LUXSUV-3</t>
        </is>
      </c>
      <c r="B13" s="20" t="n">
        <v>88.17</v>
      </c>
      <c r="C13" s="10" t="inlineStr"/>
      <c r="D13" s="10" t="inlineStr"/>
      <c r="E13" s="10" t="inlineStr"/>
    </row>
    <row r="14">
      <c r="A14" s="9" t="inlineStr">
        <is>
          <t>MPV</t>
        </is>
      </c>
      <c r="B14" s="19" t="n">
        <v>58.58</v>
      </c>
      <c r="C14" s="9" t="inlineStr"/>
      <c r="D14" s="9" t="inlineStr"/>
      <c r="E14" s="9" t="inlineStr"/>
    </row>
    <row r="15">
      <c r="A15" s="10" t="inlineStr">
        <is>
          <t>LUXCAR-3</t>
        </is>
      </c>
      <c r="B15" s="20" t="n">
        <v>82.41</v>
      </c>
      <c r="C15" s="10" t="inlineStr"/>
      <c r="D15" s="10" t="inlineStr"/>
      <c r="E15" s="10" t="inlineStr"/>
    </row>
    <row r="16">
      <c r="A16" s="9" t="inlineStr">
        <is>
          <t>LUXSUV-2</t>
        </is>
      </c>
      <c r="B16" s="19" t="n">
        <v>75.33</v>
      </c>
      <c r="C16" s="9" t="inlineStr"/>
      <c r="D16" s="9" t="inlineStr"/>
      <c r="E16" s="9" t="inlineStr"/>
    </row>
    <row r="17">
      <c r="A17" s="10" t="inlineStr">
        <is>
          <t>SUV-E</t>
        </is>
      </c>
      <c r="B17" s="20" t="n">
        <v>89.7</v>
      </c>
      <c r="C17" s="10" t="inlineStr"/>
      <c r="D17" s="10" t="inlineStr"/>
      <c r="E17" s="10" t="inlineStr"/>
    </row>
    <row r="18">
      <c r="A18" s="9" t="inlineStr">
        <is>
          <t>LUXCAR-4</t>
        </is>
      </c>
      <c r="B18" s="19" t="n">
        <v>102</v>
      </c>
      <c r="C18" s="9" t="inlineStr"/>
      <c r="D18" s="9" t="inlineStr"/>
      <c r="E18" s="9" t="inlineStr"/>
    </row>
    <row r="19">
      <c r="A19" s="10" t="inlineStr">
        <is>
          <t>LUXCAR</t>
        </is>
      </c>
      <c r="B19" s="10" t="inlineStr"/>
      <c r="C19" s="20" t="n">
        <v>95.78</v>
      </c>
      <c r="D19" s="10" t="inlineStr"/>
      <c r="E19" s="10" t="inlineStr"/>
    </row>
    <row r="20">
      <c r="A20" s="9" t="inlineStr">
        <is>
          <t>LUXCAR-2</t>
        </is>
      </c>
      <c r="B20" s="19" t="n">
        <v>71.64</v>
      </c>
      <c r="C20" s="19" t="n">
        <v>89</v>
      </c>
      <c r="D20" s="19" t="n">
        <v>17.36</v>
      </c>
      <c r="E20" s="16" t="n">
        <v>24.2</v>
      </c>
    </row>
    <row r="21">
      <c r="A21" s="10" t="inlineStr">
        <is>
          <t>LUXSUV</t>
        </is>
      </c>
      <c r="B21" s="10" t="inlineStr"/>
      <c r="C21" s="20" t="n">
        <v>104.14</v>
      </c>
      <c r="D21" s="10" t="inlineStr"/>
      <c r="E21" s="10" t="inlineStr"/>
    </row>
    <row r="22">
      <c r="A22" s="9" t="inlineStr">
        <is>
          <t>MPV-C</t>
        </is>
      </c>
      <c r="B22" s="19" t="n">
        <v>82.37</v>
      </c>
      <c r="C22" s="19" t="n">
        <v>58.8</v>
      </c>
      <c r="D22" s="19" t="n">
        <v>-23.57</v>
      </c>
      <c r="E22" s="16" t="n">
        <v>-28.6</v>
      </c>
    </row>
    <row r="23">
      <c r="A23" s="10" t="inlineStr">
        <is>
          <t>LUXSUV-4</t>
        </is>
      </c>
      <c r="B23" s="20" t="n">
        <v>106.74</v>
      </c>
      <c r="C23" s="10" t="inlineStr"/>
      <c r="D23" s="10" t="inlineStr"/>
      <c r="E23" s="10" t="inlineStr"/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tabColor rgb="00264653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</cols>
  <sheetData>
    <row r="1">
      <c r="A1" s="7" t="inlineStr">
        <is>
          <t>各细分市场整备质量</t>
        </is>
      </c>
    </row>
    <row r="3">
      <c r="A3" s="8" t="inlineStr">
        <is>
          <t>细分市场</t>
        </is>
      </c>
      <c r="B3" s="8" t="inlineStr">
        <is>
          <t>均值(kg)</t>
        </is>
      </c>
      <c r="C3" s="8" t="inlineStr">
        <is>
          <t>中位数(kg)</t>
        </is>
      </c>
      <c r="D3" s="8" t="inlineStr">
        <is>
          <t>样本数</t>
        </is>
      </c>
    </row>
    <row r="4">
      <c r="A4" s="9" t="inlineStr">
        <is>
          <t>LUXCAR-5</t>
        </is>
      </c>
      <c r="B4" s="16" t="n">
        <v>2769.33</v>
      </c>
      <c r="C4" s="16" t="n">
        <v>2757</v>
      </c>
      <c r="D4" s="15" t="n">
        <v>6</v>
      </c>
    </row>
    <row r="5">
      <c r="A5" s="10" t="inlineStr">
        <is>
          <t>LUXMPV-D</t>
        </is>
      </c>
      <c r="B5" s="18" t="n">
        <v>2763</v>
      </c>
      <c r="C5" s="18" t="n">
        <v>2763</v>
      </c>
      <c r="D5" s="17" t="n">
        <v>1</v>
      </c>
    </row>
    <row r="6">
      <c r="A6" s="9" t="inlineStr">
        <is>
          <t>LUXSUV</t>
        </is>
      </c>
      <c r="B6" s="16" t="n">
        <v>2700.06</v>
      </c>
      <c r="C6" s="16" t="n">
        <v>2707.5</v>
      </c>
      <c r="D6" s="15" t="n">
        <v>18</v>
      </c>
    </row>
    <row r="7">
      <c r="A7" s="10" t="inlineStr">
        <is>
          <t>SUV-E</t>
        </is>
      </c>
      <c r="B7" s="18" t="n">
        <v>2649.56</v>
      </c>
      <c r="C7" s="18" t="n">
        <v>2620</v>
      </c>
      <c r="D7" s="17" t="n">
        <v>32</v>
      </c>
    </row>
    <row r="8">
      <c r="A8" s="9" t="inlineStr">
        <is>
          <t>MPV-D</t>
        </is>
      </c>
      <c r="B8" s="16" t="n">
        <v>2613.35</v>
      </c>
      <c r="C8" s="16" t="n">
        <v>2650</v>
      </c>
      <c r="D8" s="15" t="n">
        <v>130</v>
      </c>
    </row>
    <row r="9">
      <c r="A9" s="10" t="inlineStr">
        <is>
          <t>LUXCAR</t>
        </is>
      </c>
      <c r="B9" s="18" t="n">
        <v>2597.08</v>
      </c>
      <c r="C9" s="18" t="n">
        <v>2405</v>
      </c>
      <c r="D9" s="17" t="n">
        <v>23</v>
      </c>
    </row>
    <row r="10">
      <c r="A10" s="9" t="inlineStr">
        <is>
          <t>MPV-B</t>
        </is>
      </c>
      <c r="B10" s="16" t="n">
        <v>2525.8</v>
      </c>
      <c r="C10" s="16" t="n">
        <v>2647</v>
      </c>
      <c r="D10" s="15" t="n">
        <v>10</v>
      </c>
    </row>
    <row r="11">
      <c r="A11" s="10" t="inlineStr">
        <is>
          <t>LUXSUV-4</t>
        </is>
      </c>
      <c r="B11" s="18" t="n">
        <v>2517</v>
      </c>
      <c r="C11" s="18" t="n">
        <v>2550</v>
      </c>
      <c r="D11" s="17" t="n">
        <v>20</v>
      </c>
    </row>
    <row r="12">
      <c r="A12" s="9" t="inlineStr">
        <is>
          <t>CAR-E</t>
        </is>
      </c>
      <c r="B12" s="16" t="n">
        <v>2480.73</v>
      </c>
      <c r="C12" s="16" t="n">
        <v>2460</v>
      </c>
      <c r="D12" s="15" t="n">
        <v>11</v>
      </c>
    </row>
    <row r="13">
      <c r="A13" s="10" t="inlineStr">
        <is>
          <t>LuxCar-4</t>
        </is>
      </c>
      <c r="B13" s="18" t="n">
        <v>2418</v>
      </c>
      <c r="C13" s="18" t="n">
        <v>2465</v>
      </c>
      <c r="D13" s="17" t="n">
        <v>3</v>
      </c>
    </row>
    <row r="14">
      <c r="A14" s="9" t="inlineStr">
        <is>
          <t>SUV-D</t>
        </is>
      </c>
      <c r="B14" s="16" t="n">
        <v>2344.84</v>
      </c>
      <c r="C14" s="16" t="n">
        <v>2310</v>
      </c>
      <c r="D14" s="15" t="n">
        <v>695</v>
      </c>
    </row>
    <row r="15">
      <c r="A15" s="10" t="inlineStr">
        <is>
          <t>LUXCAR-4</t>
        </is>
      </c>
      <c r="B15" s="18" t="n">
        <v>2338.44</v>
      </c>
      <c r="C15" s="18" t="n">
        <v>2294</v>
      </c>
      <c r="D15" s="17" t="n">
        <v>27</v>
      </c>
    </row>
    <row r="16">
      <c r="A16" s="9" t="inlineStr">
        <is>
          <t>LUXSUV-3</t>
        </is>
      </c>
      <c r="B16" s="16" t="n">
        <v>2289.68</v>
      </c>
      <c r="C16" s="16" t="n">
        <v>2320</v>
      </c>
      <c r="D16" s="15" t="n">
        <v>66</v>
      </c>
    </row>
    <row r="17">
      <c r="A17" s="10" t="inlineStr">
        <is>
          <t>LUXSUV-2</t>
        </is>
      </c>
      <c r="B17" s="18" t="n">
        <v>2124.24</v>
      </c>
      <c r="C17" s="18" t="n">
        <v>2151</v>
      </c>
      <c r="D17" s="17" t="n">
        <v>33</v>
      </c>
    </row>
    <row r="18">
      <c r="A18" s="9" t="inlineStr">
        <is>
          <t>MPV-C</t>
        </is>
      </c>
      <c r="B18" s="16" t="n">
        <v>2108.95</v>
      </c>
      <c r="C18" s="16" t="n">
        <v>2138.5</v>
      </c>
      <c r="D18" s="15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tabColor rgb="006B8E23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7" t="inlineStr">
        <is>
          <t>BEV相关性矩阵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百公里电耗(kWh/100km)</t>
        </is>
      </c>
      <c r="G3" s="8" t="inlineStr">
        <is>
          <t>电池能量密度(Wh/kg)</t>
        </is>
      </c>
      <c r="H3" s="8" t="inlineStr">
        <is>
          <t>功率质量比(kW/kg)</t>
        </is>
      </c>
      <c r="I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</v>
      </c>
      <c r="D4" s="21" t="n">
        <v>0.601</v>
      </c>
      <c r="E4" s="21" t="n">
        <v>0.778</v>
      </c>
      <c r="F4" s="21" t="n">
        <v>0.537</v>
      </c>
      <c r="G4" s="21" t="n">
        <v>0.633</v>
      </c>
      <c r="H4" s="21" t="n">
        <v>0.079</v>
      </c>
      <c r="I4" s="21" t="n">
        <v>0.891</v>
      </c>
    </row>
    <row r="5">
      <c r="A5" s="10" t="inlineStr">
        <is>
          <t>电池容量(kWh)</t>
        </is>
      </c>
      <c r="B5" s="22" t="n">
        <v>0.9</v>
      </c>
      <c r="C5" s="22" t="n">
        <v>1</v>
      </c>
      <c r="D5" s="22" t="n">
        <v>0.572</v>
      </c>
      <c r="E5" s="22" t="n">
        <v>0.9340000000000001</v>
      </c>
      <c r="F5" s="22" t="n">
        <v>0.772</v>
      </c>
      <c r="G5" s="22" t="n">
        <v>0.695</v>
      </c>
      <c r="H5" s="22" t="n">
        <v>-0.016</v>
      </c>
      <c r="I5" s="22" t="n">
        <v>0.862</v>
      </c>
    </row>
    <row r="6">
      <c r="A6" s="9" t="inlineStr">
        <is>
          <t>电机峰值功率(kW)</t>
        </is>
      </c>
      <c r="B6" s="21" t="n">
        <v>0.601</v>
      </c>
      <c r="C6" s="21" t="n">
        <v>0.572</v>
      </c>
      <c r="D6" s="21" t="n">
        <v>1</v>
      </c>
      <c r="E6" s="21" t="n">
        <v>0.5629999999999999</v>
      </c>
      <c r="F6" s="21" t="n">
        <v>0.224</v>
      </c>
      <c r="G6" s="21" t="n">
        <v>0.313</v>
      </c>
      <c r="H6" s="21" t="n">
        <v>0.737</v>
      </c>
      <c r="I6" s="21" t="n">
        <v>0.456</v>
      </c>
    </row>
    <row r="7">
      <c r="A7" s="10" t="inlineStr">
        <is>
          <t>整备质量(kg)</t>
        </is>
      </c>
      <c r="B7" s="22" t="n">
        <v>0.778</v>
      </c>
      <c r="C7" s="22" t="n">
        <v>0.9340000000000001</v>
      </c>
      <c r="D7" s="22" t="n">
        <v>0.5629999999999999</v>
      </c>
      <c r="E7" s="22" t="n">
        <v>1</v>
      </c>
      <c r="F7" s="22" t="n">
        <v>0.835</v>
      </c>
      <c r="G7" s="22" t="n">
        <v>0.581</v>
      </c>
      <c r="H7" s="22" t="n">
        <v>-0.05</v>
      </c>
      <c r="I7" s="22" t="n">
        <v>0.665</v>
      </c>
    </row>
    <row r="8">
      <c r="A8" s="9" t="inlineStr">
        <is>
          <t>百公里电耗(kWh/100km)</t>
        </is>
      </c>
      <c r="B8" s="21" t="n">
        <v>0.537</v>
      </c>
      <c r="C8" s="21" t="n">
        <v>0.772</v>
      </c>
      <c r="D8" s="21" t="n">
        <v>0.224</v>
      </c>
      <c r="E8" s="21" t="n">
        <v>0.835</v>
      </c>
      <c r="F8" s="21" t="n">
        <v>1</v>
      </c>
      <c r="G8" s="21" t="n">
        <v>0.515</v>
      </c>
      <c r="H8" s="21" t="n">
        <v>-0.229</v>
      </c>
      <c r="I8" s="21" t="n">
        <v>0.5590000000000001</v>
      </c>
    </row>
    <row r="9">
      <c r="A9" s="10" t="inlineStr">
        <is>
          <t>电池能量密度(Wh/kg)</t>
        </is>
      </c>
      <c r="B9" s="22" t="n">
        <v>0.633</v>
      </c>
      <c r="C9" s="22" t="n">
        <v>0.695</v>
      </c>
      <c r="D9" s="22" t="n">
        <v>0.313</v>
      </c>
      <c r="E9" s="22" t="n">
        <v>0.581</v>
      </c>
      <c r="F9" s="22" t="n">
        <v>0.515</v>
      </c>
      <c r="G9" s="22" t="n">
        <v>1</v>
      </c>
      <c r="H9" s="22" t="n">
        <v>-0.046</v>
      </c>
      <c r="I9" s="22" t="n">
        <v>0.6860000000000001</v>
      </c>
    </row>
    <row r="10">
      <c r="A10" s="9" t="inlineStr">
        <is>
          <t>功率质量比(kW/kg)</t>
        </is>
      </c>
      <c r="B10" s="21" t="n">
        <v>0.079</v>
      </c>
      <c r="C10" s="21" t="n">
        <v>-0.016</v>
      </c>
      <c r="D10" s="21" t="n">
        <v>0.737</v>
      </c>
      <c r="E10" s="21" t="n">
        <v>-0.05</v>
      </c>
      <c r="F10" s="21" t="n">
        <v>-0.229</v>
      </c>
      <c r="G10" s="21" t="n">
        <v>-0.046</v>
      </c>
      <c r="H10" s="21" t="n">
        <v>1</v>
      </c>
      <c r="I10" s="21" t="n">
        <v>0.012</v>
      </c>
    </row>
    <row r="11">
      <c r="A11" s="10" t="inlineStr">
        <is>
          <t>整车能量密度(Wh/kg)</t>
        </is>
      </c>
      <c r="B11" s="22" t="n">
        <v>0.891</v>
      </c>
      <c r="C11" s="22" t="n">
        <v>0.862</v>
      </c>
      <c r="D11" s="22" t="n">
        <v>0.456</v>
      </c>
      <c r="E11" s="22" t="n">
        <v>0.665</v>
      </c>
      <c r="F11" s="22" t="n">
        <v>0.5590000000000001</v>
      </c>
      <c r="G11" s="22" t="n">
        <v>0.6860000000000001</v>
      </c>
      <c r="H11" s="22" t="n">
        <v>0.012</v>
      </c>
      <c r="I11" s="22" t="n">
        <v>1</v>
      </c>
    </row>
  </sheetData>
  <mergeCells count="1">
    <mergeCell ref="A1:I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6B8E23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PHEV相关性矩阵</t>
        </is>
      </c>
    </row>
    <row r="3">
      <c r="A3" s="8" t="inlineStr"/>
      <c r="B3" s="8" t="inlineStr">
        <is>
          <t>纯电续航里程(km)</t>
        </is>
      </c>
      <c r="C3" s="8" t="inlineStr">
        <is>
          <t>电池容量(kWh)</t>
        </is>
      </c>
      <c r="D3" s="8" t="inlineStr">
        <is>
          <t>电机峰值功率(kW)</t>
        </is>
      </c>
      <c r="E3" s="8" t="inlineStr">
        <is>
          <t>整备质量(kg)</t>
        </is>
      </c>
      <c r="F3" s="8" t="inlineStr">
        <is>
          <t>电池能量密度(Wh/kg)</t>
        </is>
      </c>
      <c r="G3" s="8" t="inlineStr">
        <is>
          <t>功率质量比(kW/kg)</t>
        </is>
      </c>
      <c r="H3" s="8" t="inlineStr">
        <is>
          <t>整车能量密度(Wh/kg)</t>
        </is>
      </c>
    </row>
    <row r="4">
      <c r="A4" s="9" t="inlineStr">
        <is>
          <t>纯电续航里程(km)</t>
        </is>
      </c>
      <c r="B4" s="21" t="n">
        <v>1</v>
      </c>
      <c r="C4" s="21" t="n">
        <v>0.902</v>
      </c>
      <c r="D4" s="21" t="n">
        <v>0.175</v>
      </c>
      <c r="E4" s="21" t="n">
        <v>0.57</v>
      </c>
      <c r="F4" s="21" t="n">
        <v>0.642</v>
      </c>
      <c r="G4" s="21" t="n">
        <v>-0.131</v>
      </c>
      <c r="H4" s="21" t="n">
        <v>0.925</v>
      </c>
    </row>
    <row r="5">
      <c r="A5" s="10" t="inlineStr">
        <is>
          <t>电池容量(kWh)</t>
        </is>
      </c>
      <c r="B5" s="22" t="n">
        <v>0.902</v>
      </c>
      <c r="C5" s="22" t="n">
        <v>1</v>
      </c>
      <c r="D5" s="22" t="n">
        <v>0.245</v>
      </c>
      <c r="E5" s="22" t="n">
        <v>0.8090000000000001</v>
      </c>
      <c r="F5" s="22" t="n">
        <v>0.719</v>
      </c>
      <c r="G5" s="22" t="n">
        <v>-0.182</v>
      </c>
      <c r="H5" s="22" t="n">
        <v>0.9360000000000001</v>
      </c>
    </row>
    <row r="6">
      <c r="A6" s="9" t="inlineStr">
        <is>
          <t>电机峰值功率(kW)</t>
        </is>
      </c>
      <c r="B6" s="21" t="n">
        <v>0.175</v>
      </c>
      <c r="C6" s="21" t="n">
        <v>0.245</v>
      </c>
      <c r="D6" s="21" t="n">
        <v>1</v>
      </c>
      <c r="E6" s="21" t="n">
        <v>0.259</v>
      </c>
      <c r="F6" s="21" t="n">
        <v>0.119</v>
      </c>
      <c r="G6" s="21" t="n">
        <v>0.853</v>
      </c>
      <c r="H6" s="21" t="n">
        <v>0.195</v>
      </c>
    </row>
    <row r="7">
      <c r="A7" s="10" t="inlineStr">
        <is>
          <t>整备质量(kg)</t>
        </is>
      </c>
      <c r="B7" s="22" t="n">
        <v>0.57</v>
      </c>
      <c r="C7" s="22" t="n">
        <v>0.8090000000000001</v>
      </c>
      <c r="D7" s="22" t="n">
        <v>0.259</v>
      </c>
      <c r="E7" s="22" t="n">
        <v>1</v>
      </c>
      <c r="F7" s="22" t="n">
        <v>0.554</v>
      </c>
      <c r="G7" s="22" t="n">
        <v>-0.254</v>
      </c>
      <c r="H7" s="22" t="n">
        <v>0.58</v>
      </c>
    </row>
    <row r="8">
      <c r="A8" s="9" t="inlineStr">
        <is>
          <t>电池能量密度(Wh/kg)</t>
        </is>
      </c>
      <c r="B8" s="21" t="n">
        <v>0.642</v>
      </c>
      <c r="C8" s="21" t="n">
        <v>0.719</v>
      </c>
      <c r="D8" s="21" t="n">
        <v>0.119</v>
      </c>
      <c r="E8" s="21" t="n">
        <v>0.554</v>
      </c>
      <c r="F8" s="21" t="n">
        <v>1</v>
      </c>
      <c r="G8" s="21" t="n">
        <v>-0.186</v>
      </c>
      <c r="H8" s="21" t="n">
        <v>0.705</v>
      </c>
    </row>
    <row r="9">
      <c r="A9" s="10" t="inlineStr">
        <is>
          <t>功率质量比(kW/kg)</t>
        </is>
      </c>
      <c r="B9" s="22" t="n">
        <v>-0.131</v>
      </c>
      <c r="C9" s="22" t="n">
        <v>-0.182</v>
      </c>
      <c r="D9" s="22" t="n">
        <v>0.853</v>
      </c>
      <c r="E9" s="22" t="n">
        <v>-0.254</v>
      </c>
      <c r="F9" s="22" t="n">
        <v>-0.186</v>
      </c>
      <c r="G9" s="22" t="n">
        <v>1</v>
      </c>
      <c r="H9" s="22" t="n">
        <v>-0.135</v>
      </c>
    </row>
    <row r="10">
      <c r="A10" s="9" t="inlineStr">
        <is>
          <t>整车能量密度(Wh/kg)</t>
        </is>
      </c>
      <c r="B10" s="21" t="n">
        <v>0.925</v>
      </c>
      <c r="C10" s="21" t="n">
        <v>0.9360000000000001</v>
      </c>
      <c r="D10" s="21" t="n">
        <v>0.195</v>
      </c>
      <c r="E10" s="21" t="n">
        <v>0.58</v>
      </c>
      <c r="F10" s="21" t="n">
        <v>0.705</v>
      </c>
      <c r="G10" s="21" t="n">
        <v>-0.135</v>
      </c>
      <c r="H10" s="21" t="n">
        <v>1</v>
      </c>
    </row>
  </sheetData>
  <mergeCells count="1">
    <mergeCell ref="A1:H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E76F51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BEV同比增长率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7.4</v>
      </c>
      <c r="C4" s="16" t="n">
        <v>12.1</v>
      </c>
      <c r="D4" s="16" t="n">
        <v>8.1</v>
      </c>
      <c r="E4" s="16" t="n">
        <v>11.7</v>
      </c>
    </row>
    <row r="5">
      <c r="A5" s="10" t="inlineStr">
        <is>
          <t>电池容量</t>
        </is>
      </c>
      <c r="B5" s="18" t="n">
        <v>7.2</v>
      </c>
      <c r="C5" s="18" t="n">
        <v>13</v>
      </c>
      <c r="D5" s="18" t="n">
        <v>4.6</v>
      </c>
      <c r="E5" s="18" t="n">
        <v>5.5</v>
      </c>
    </row>
    <row r="6">
      <c r="A6" s="9" t="inlineStr">
        <is>
          <t>电机功率</t>
        </is>
      </c>
      <c r="B6" s="16" t="n">
        <v>1.2</v>
      </c>
      <c r="C6" s="16" t="n">
        <v>7.2</v>
      </c>
      <c r="D6" s="16" t="n">
        <v>7.6</v>
      </c>
      <c r="E6" s="16" t="n">
        <v>11.7</v>
      </c>
    </row>
    <row r="7">
      <c r="A7" s="10" t="inlineStr">
        <is>
          <t>整备质量</t>
        </is>
      </c>
      <c r="B7" s="18" t="n">
        <v>5.8</v>
      </c>
      <c r="C7" s="18" t="n">
        <v>13.3</v>
      </c>
      <c r="D7" s="18" t="n">
        <v>2</v>
      </c>
      <c r="E7" s="18" t="n">
        <v>1.4</v>
      </c>
    </row>
    <row r="8">
      <c r="A8" s="9" t="inlineStr">
        <is>
          <t>百公里电耗</t>
        </is>
      </c>
      <c r="B8" s="16" t="n">
        <v>1.1</v>
      </c>
      <c r="C8" s="16" t="n">
        <v>11.6</v>
      </c>
      <c r="D8" s="16" t="n">
        <v>-14.8</v>
      </c>
      <c r="E8" s="16" t="n">
        <v>9.6</v>
      </c>
    </row>
    <row r="9">
      <c r="A9" s="10" t="inlineStr">
        <is>
          <t>电池能量密度</t>
        </is>
      </c>
      <c r="B9" s="18" t="n">
        <v>1.6</v>
      </c>
      <c r="C9" s="18" t="n">
        <v>3.6</v>
      </c>
      <c r="D9" s="18" t="n">
        <v>-7.7</v>
      </c>
      <c r="E9" s="18" t="n">
        <v>11.1</v>
      </c>
    </row>
    <row r="10">
      <c r="A10" s="9" t="inlineStr">
        <is>
          <t>功率质量比</t>
        </is>
      </c>
      <c r="B10" s="16" t="n">
        <v>-4.4</v>
      </c>
      <c r="C10" s="16" t="n">
        <v>-0.5</v>
      </c>
      <c r="D10" s="16" t="n">
        <v>1.3</v>
      </c>
      <c r="E10" s="16" t="n">
        <v>6.1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tabColor rgb="00E76F51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PHEV同比增长率</t>
        </is>
      </c>
    </row>
    <row r="3">
      <c r="A3" s="8" t="inlineStr">
        <is>
          <t>指标</t>
        </is>
      </c>
      <c r="B3" s="8" t="inlineStr">
        <is>
          <t>2021→2022</t>
        </is>
      </c>
      <c r="C3" s="8" t="inlineStr">
        <is>
          <t>2022→2023</t>
        </is>
      </c>
      <c r="D3" s="8" t="inlineStr">
        <is>
          <t>2023→2024</t>
        </is>
      </c>
      <c r="E3" s="8" t="inlineStr">
        <is>
          <t>2024→2025</t>
        </is>
      </c>
    </row>
    <row r="4">
      <c r="A4" s="9" t="inlineStr">
        <is>
          <t>续航里程</t>
        </is>
      </c>
      <c r="B4" s="16" t="n">
        <v>11.5</v>
      </c>
      <c r="C4" s="16" t="n">
        <v>6.3</v>
      </c>
      <c r="D4" s="16" t="n">
        <v>12.5</v>
      </c>
      <c r="E4" s="16" t="n">
        <v>29.4</v>
      </c>
    </row>
    <row r="5">
      <c r="A5" s="10" t="inlineStr">
        <is>
          <t>电池容量</t>
        </is>
      </c>
      <c r="B5" s="18" t="n">
        <v>16.9</v>
      </c>
      <c r="C5" s="18" t="n">
        <v>4.5</v>
      </c>
      <c r="D5" s="18" t="n">
        <v>6.8</v>
      </c>
      <c r="E5" s="18" t="n">
        <v>28.9</v>
      </c>
    </row>
    <row r="6">
      <c r="A6" s="9" t="inlineStr">
        <is>
          <t>电机功率</t>
        </is>
      </c>
      <c r="B6" s="16" t="n">
        <v>-16.9</v>
      </c>
      <c r="C6" s="16" t="n">
        <v>1.9</v>
      </c>
      <c r="D6" s="16" t="n">
        <v>-13.2</v>
      </c>
      <c r="E6" s="16" t="n">
        <v>0</v>
      </c>
    </row>
    <row r="7">
      <c r="A7" s="10" t="inlineStr">
        <is>
          <t>整备质量</t>
        </is>
      </c>
      <c r="B7" s="18" t="n">
        <v>6.1</v>
      </c>
      <c r="C7" s="18" t="n">
        <v>1.6</v>
      </c>
      <c r="D7" s="18" t="n">
        <v>0.6</v>
      </c>
      <c r="E7" s="18" t="n">
        <v>8.9</v>
      </c>
    </row>
    <row r="8">
      <c r="A8" s="9" t="inlineStr">
        <is>
          <t>电池能量密度</t>
        </is>
      </c>
      <c r="B8" s="16" t="n">
        <v>7.8</v>
      </c>
      <c r="C8" s="16" t="n">
        <v>0.9</v>
      </c>
      <c r="D8" s="16" t="n">
        <v>-4.7</v>
      </c>
      <c r="E8" s="16" t="n">
        <v>16</v>
      </c>
    </row>
    <row r="9">
      <c r="A9" s="10" t="inlineStr">
        <is>
          <t>功率质量比</t>
        </is>
      </c>
      <c r="B9" s="18" t="n">
        <v>-22.2</v>
      </c>
      <c r="C9" s="18" t="n">
        <v>1.5</v>
      </c>
      <c r="D9" s="18" t="n">
        <v>-10.3</v>
      </c>
      <c r="E9" s="18" t="n">
        <v>-9.1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BEV关键指标汇总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503.96</v>
      </c>
      <c r="C4" s="19" t="n">
        <v>515</v>
      </c>
      <c r="D4" s="19" t="n">
        <v>166.08</v>
      </c>
      <c r="E4" s="19" t="n">
        <v>130</v>
      </c>
      <c r="F4" s="19" t="n">
        <v>873</v>
      </c>
      <c r="G4" s="19" t="n">
        <v>403</v>
      </c>
      <c r="H4" s="19" t="n">
        <v>620</v>
      </c>
      <c r="I4" s="15" t="n">
        <v>2801</v>
      </c>
    </row>
    <row r="5">
      <c r="A5" s="10" t="inlineStr">
        <is>
          <t>电池容量(kWh)</t>
        </is>
      </c>
      <c r="B5" s="20" t="n">
        <v>64.47</v>
      </c>
      <c r="C5" s="20" t="n">
        <v>65</v>
      </c>
      <c r="D5" s="20" t="n">
        <v>25.45</v>
      </c>
      <c r="E5" s="20" t="n">
        <v>11.52</v>
      </c>
      <c r="F5" s="20" t="n">
        <v>120</v>
      </c>
      <c r="G5" s="20" t="n">
        <v>49.21</v>
      </c>
      <c r="H5" s="20" t="n">
        <v>81.08</v>
      </c>
      <c r="I5" s="17" t="n">
        <v>2796</v>
      </c>
    </row>
    <row r="6">
      <c r="A6" s="9" t="inlineStr">
        <is>
          <t>电机功率(kW)</t>
        </is>
      </c>
      <c r="B6" s="19" t="n">
        <v>160.37</v>
      </c>
      <c r="C6" s="19" t="n">
        <v>160</v>
      </c>
      <c r="D6" s="19" t="n">
        <v>69.72</v>
      </c>
      <c r="E6" s="19" t="n">
        <v>30</v>
      </c>
      <c r="F6" s="19" t="n">
        <v>370</v>
      </c>
      <c r="G6" s="19" t="n">
        <v>120</v>
      </c>
      <c r="H6" s="19" t="n">
        <v>180</v>
      </c>
      <c r="I6" s="15" t="n">
        <v>1774</v>
      </c>
    </row>
    <row r="7">
      <c r="A7" s="10" t="inlineStr">
        <is>
          <t>整备质量(kg)</t>
        </is>
      </c>
      <c r="B7" s="20" t="n">
        <v>1837.43</v>
      </c>
      <c r="C7" s="20" t="n">
        <v>1875</v>
      </c>
      <c r="D7" s="20" t="n">
        <v>512.7</v>
      </c>
      <c r="E7" s="20" t="n">
        <v>705</v>
      </c>
      <c r="F7" s="20" t="n">
        <v>2906</v>
      </c>
      <c r="G7" s="20" t="n">
        <v>1575</v>
      </c>
      <c r="H7" s="20" t="n">
        <v>2210</v>
      </c>
      <c r="I7" s="17" t="n">
        <v>2773</v>
      </c>
    </row>
    <row r="8">
      <c r="A8" s="9" t="inlineStr">
        <is>
          <t>百公里电耗(kWh/100km)</t>
        </is>
      </c>
      <c r="B8" s="19" t="n">
        <v>13.49</v>
      </c>
      <c r="C8" s="19" t="n">
        <v>13.5</v>
      </c>
      <c r="D8" s="19" t="n">
        <v>2.56</v>
      </c>
      <c r="E8" s="19" t="n">
        <v>8.5</v>
      </c>
      <c r="F8" s="19" t="n">
        <v>21.48</v>
      </c>
      <c r="G8" s="19" t="n">
        <v>12</v>
      </c>
      <c r="H8" s="19" t="n">
        <v>14.9</v>
      </c>
      <c r="I8" s="15" t="n">
        <v>909</v>
      </c>
    </row>
    <row r="9">
      <c r="A9" s="10" t="inlineStr">
        <is>
          <t>电池能量密度(Wh/kg)</t>
        </is>
      </c>
      <c r="B9" s="20" t="n">
        <v>152.56</v>
      </c>
      <c r="C9" s="20" t="n">
        <v>150</v>
      </c>
      <c r="D9" s="20" t="n">
        <v>19.57</v>
      </c>
      <c r="E9" s="20" t="n">
        <v>107</v>
      </c>
      <c r="F9" s="20" t="n">
        <v>194.19</v>
      </c>
      <c r="G9" s="20" t="n">
        <v>140</v>
      </c>
      <c r="H9" s="20" t="n">
        <v>170</v>
      </c>
      <c r="I9" s="17" t="n">
        <v>2593</v>
      </c>
    </row>
    <row r="10">
      <c r="A10" s="9" t="inlineStr">
        <is>
          <t>功率质量比(kW/kg)</t>
        </is>
      </c>
      <c r="B10" s="19" t="n">
        <v>86.61</v>
      </c>
      <c r="C10" s="19" t="n">
        <v>82.38</v>
      </c>
      <c r="D10" s="19" t="n">
        <v>33.36</v>
      </c>
      <c r="E10" s="19" t="n">
        <v>16</v>
      </c>
      <c r="F10" s="19" t="n">
        <v>287.94</v>
      </c>
      <c r="G10" s="19" t="n">
        <v>65.25</v>
      </c>
      <c r="H10" s="19" t="n">
        <v>104.3</v>
      </c>
      <c r="I10" s="15" t="n">
        <v>1691</v>
      </c>
    </row>
    <row r="11">
      <c r="A11" s="10" t="inlineStr">
        <is>
          <t>整车能量密度(Wh/kg)</t>
        </is>
      </c>
      <c r="B11" s="20" t="n">
        <v>34.01</v>
      </c>
      <c r="C11" s="20" t="n">
        <v>34.72</v>
      </c>
      <c r="D11" s="20" t="n">
        <v>6.73</v>
      </c>
      <c r="E11" s="20" t="n">
        <v>11.99</v>
      </c>
      <c r="F11" s="20" t="n">
        <v>59.56</v>
      </c>
      <c r="G11" s="20" t="n">
        <v>30.54</v>
      </c>
      <c r="H11" s="20" t="n">
        <v>38.04</v>
      </c>
      <c r="I11" s="17" t="n">
        <v>2747</v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2D2D2D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PHEV关键指标汇总 (描述性统计)</t>
        </is>
      </c>
    </row>
    <row r="3">
      <c r="A3" s="8" t="inlineStr">
        <is>
          <t>指标</t>
        </is>
      </c>
      <c r="B3" s="8" t="inlineStr">
        <is>
          <t>均值</t>
        </is>
      </c>
      <c r="C3" s="8" t="inlineStr">
        <is>
          <t>中位数</t>
        </is>
      </c>
      <c r="D3" s="8" t="inlineStr">
        <is>
          <t>标准差</t>
        </is>
      </c>
      <c r="E3" s="8" t="inlineStr">
        <is>
          <t>最小值</t>
        </is>
      </c>
      <c r="F3" s="8" t="inlineStr">
        <is>
          <t>最大值</t>
        </is>
      </c>
      <c r="G3" s="8" t="inlineStr">
        <is>
          <t>P25</t>
        </is>
      </c>
      <c r="H3" s="8" t="inlineStr">
        <is>
          <t>P75</t>
        </is>
      </c>
      <c r="I3" s="8" t="inlineStr">
        <is>
          <t>样本数</t>
        </is>
      </c>
    </row>
    <row r="4">
      <c r="A4" s="9" t="inlineStr">
        <is>
          <t>纯电续航(km)</t>
        </is>
      </c>
      <c r="B4" s="19" t="n">
        <v>143.26</v>
      </c>
      <c r="C4" s="19" t="n">
        <v>140</v>
      </c>
      <c r="D4" s="19" t="n">
        <v>65.23999999999999</v>
      </c>
      <c r="E4" s="19" t="n">
        <v>43</v>
      </c>
      <c r="F4" s="19" t="n">
        <v>352</v>
      </c>
      <c r="G4" s="19" t="n">
        <v>100</v>
      </c>
      <c r="H4" s="19" t="n">
        <v>175</v>
      </c>
      <c r="I4" s="15" t="n">
        <v>1308</v>
      </c>
    </row>
    <row r="5">
      <c r="A5" s="10" t="inlineStr">
        <is>
          <t>电池容量(kWh)</t>
        </is>
      </c>
      <c r="B5" s="20" t="n">
        <v>30.96</v>
      </c>
      <c r="C5" s="20" t="n">
        <v>30.1</v>
      </c>
      <c r="D5" s="20" t="n">
        <v>14.05</v>
      </c>
      <c r="E5" s="20" t="n">
        <v>8.32</v>
      </c>
      <c r="F5" s="20" t="n">
        <v>70</v>
      </c>
      <c r="G5" s="20" t="n">
        <v>18.83</v>
      </c>
      <c r="H5" s="20" t="n">
        <v>39.9</v>
      </c>
      <c r="I5" s="17" t="n">
        <v>1333</v>
      </c>
    </row>
    <row r="6">
      <c r="A6" s="9" t="inlineStr">
        <is>
          <t>电机功率(kW)</t>
        </is>
      </c>
      <c r="B6" s="19" t="n">
        <v>157.32</v>
      </c>
      <c r="C6" s="19" t="n">
        <v>160</v>
      </c>
      <c r="D6" s="19" t="n">
        <v>54.44</v>
      </c>
      <c r="E6" s="19" t="n">
        <v>30</v>
      </c>
      <c r="F6" s="19" t="n">
        <v>330</v>
      </c>
      <c r="G6" s="19" t="n">
        <v>126</v>
      </c>
      <c r="H6" s="19" t="n">
        <v>180</v>
      </c>
      <c r="I6" s="15" t="n">
        <v>1055</v>
      </c>
    </row>
    <row r="7">
      <c r="A7" s="10" t="inlineStr">
        <is>
          <t>整备质量(kg)</t>
        </is>
      </c>
      <c r="B7" s="20" t="n">
        <v>2138.24</v>
      </c>
      <c r="C7" s="20" t="n">
        <v>2065</v>
      </c>
      <c r="D7" s="20" t="n">
        <v>390.68</v>
      </c>
      <c r="E7" s="20" t="n">
        <v>1500</v>
      </c>
      <c r="F7" s="20" t="n">
        <v>3189.95</v>
      </c>
      <c r="G7" s="20" t="n">
        <v>1830</v>
      </c>
      <c r="H7" s="20" t="n">
        <v>2385.75</v>
      </c>
      <c r="I7" s="17" t="n">
        <v>1336</v>
      </c>
    </row>
    <row r="8">
      <c r="A8" s="9" t="inlineStr">
        <is>
          <t>百公里电耗(kWh/100km)</t>
        </is>
      </c>
      <c r="B8" s="19" t="n">
        <v>14.19</v>
      </c>
      <c r="C8" s="19" t="n">
        <v>14</v>
      </c>
      <c r="D8" s="19" t="n">
        <v>0.25</v>
      </c>
      <c r="E8" s="19" t="n">
        <v>14</v>
      </c>
      <c r="F8" s="19" t="n">
        <v>14.5</v>
      </c>
      <c r="G8" s="19" t="n">
        <v>14</v>
      </c>
      <c r="H8" s="19" t="n">
        <v>14.5</v>
      </c>
      <c r="I8" s="15" t="n">
        <v>13</v>
      </c>
    </row>
    <row r="9">
      <c r="A9" s="10" t="inlineStr">
        <is>
          <t>电池能量密度(Wh/kg)</t>
        </is>
      </c>
      <c r="B9" s="20" t="n">
        <v>130.2</v>
      </c>
      <c r="C9" s="20" t="n">
        <v>140</v>
      </c>
      <c r="D9" s="20" t="n">
        <v>21.88</v>
      </c>
      <c r="E9" s="20" t="n">
        <v>79.95999999999999</v>
      </c>
      <c r="F9" s="20" t="n">
        <v>172.1</v>
      </c>
      <c r="G9" s="20" t="n">
        <v>111.68</v>
      </c>
      <c r="H9" s="20" t="n">
        <v>140</v>
      </c>
      <c r="I9" s="17" t="n">
        <v>1183</v>
      </c>
    </row>
    <row r="10">
      <c r="A10" s="9" t="inlineStr">
        <is>
          <t>功率质量比(kW/kg)</t>
        </is>
      </c>
      <c r="B10" s="19" t="n">
        <v>75.68000000000001</v>
      </c>
      <c r="C10" s="19" t="n">
        <v>72.40000000000001</v>
      </c>
      <c r="D10" s="19" t="n">
        <v>25.1</v>
      </c>
      <c r="E10" s="19" t="n">
        <v>16.3</v>
      </c>
      <c r="F10" s="19" t="n">
        <v>143.48</v>
      </c>
      <c r="G10" s="19" t="n">
        <v>57.02</v>
      </c>
      <c r="H10" s="19" t="n">
        <v>90.67</v>
      </c>
      <c r="I10" s="15" t="n">
        <v>1006</v>
      </c>
    </row>
    <row r="11">
      <c r="A11" s="10" t="inlineStr">
        <is>
          <t>整车能量密度(Wh/kg)</t>
        </is>
      </c>
      <c r="B11" s="20" t="n">
        <v>14.02</v>
      </c>
      <c r="C11" s="20" t="n">
        <v>14.36</v>
      </c>
      <c r="D11" s="20" t="n">
        <v>4.61</v>
      </c>
      <c r="E11" s="20" t="n">
        <v>4.73</v>
      </c>
      <c r="F11" s="20" t="n">
        <v>28.1</v>
      </c>
      <c r="G11" s="20" t="n">
        <v>10.39</v>
      </c>
      <c r="H11" s="20" t="n">
        <v>16.83</v>
      </c>
      <c r="I11" s="17" t="n">
        <v>1330</v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2D2D2D"/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</cols>
  <sheetData>
    <row r="1">
      <c r="A1" s="7" t="inlineStr">
        <is>
          <t>年度综合技术指标</t>
        </is>
      </c>
    </row>
    <row r="3">
      <c r="A3" s="8" t="inlineStr">
        <is>
          <t>年份</t>
        </is>
      </c>
      <c r="B3" s="8" t="inlineStr">
        <is>
          <t>BEV续航(km)</t>
        </is>
      </c>
      <c r="C3" s="8" t="inlineStr">
        <is>
          <t>BEV容量(kWh)</t>
        </is>
      </c>
      <c r="D3" s="8" t="inlineStr">
        <is>
          <t>BEV功率(kW)</t>
        </is>
      </c>
      <c r="E3" s="8" t="inlineStr">
        <is>
          <t>BEV质量(kg)</t>
        </is>
      </c>
      <c r="F3" s="8" t="inlineStr">
        <is>
          <t>BEV整车密度(Wh/kg)</t>
        </is>
      </c>
      <c r="G3" s="8" t="inlineStr">
        <is>
          <t>PHEV续航(km)</t>
        </is>
      </c>
      <c r="H3" s="8" t="inlineStr">
        <is>
          <t>PHEV容量(kWh)</t>
        </is>
      </c>
      <c r="I3" s="8" t="inlineStr">
        <is>
          <t>PHEV功率(kW)</t>
        </is>
      </c>
      <c r="J3" s="8" t="inlineStr">
        <is>
          <t>PHEV质量(kg)</t>
        </is>
      </c>
      <c r="K3" s="8" t="inlineStr">
        <is>
          <t>PHEV整车密度(Wh/kg)</t>
        </is>
      </c>
    </row>
    <row r="4">
      <c r="A4" s="9" t="n">
        <v>2021</v>
      </c>
      <c r="B4" s="16" t="n">
        <v>413.32</v>
      </c>
      <c r="C4" s="19" t="n">
        <v>54.12</v>
      </c>
      <c r="D4" s="16" t="n">
        <v>139.47</v>
      </c>
      <c r="E4" s="16" t="n">
        <v>1589.48</v>
      </c>
      <c r="F4" s="16" t="n">
        <v>32.56</v>
      </c>
      <c r="G4" s="16" t="n">
        <v>101.55</v>
      </c>
      <c r="H4" s="19" t="n">
        <v>22.08</v>
      </c>
      <c r="I4" s="16" t="n">
        <v>201</v>
      </c>
      <c r="J4" s="16" t="n">
        <v>1921.05</v>
      </c>
      <c r="K4" s="16" t="n">
        <v>11.01</v>
      </c>
    </row>
    <row r="5">
      <c r="A5" s="10" t="n">
        <v>2022</v>
      </c>
      <c r="B5" s="18" t="n">
        <v>443.8</v>
      </c>
      <c r="C5" s="20" t="n">
        <v>58.03</v>
      </c>
      <c r="D5" s="18" t="n">
        <v>141.15</v>
      </c>
      <c r="E5" s="18" t="n">
        <v>1681.56</v>
      </c>
      <c r="F5" s="18" t="n">
        <v>32.76</v>
      </c>
      <c r="G5" s="18" t="n">
        <v>113.23</v>
      </c>
      <c r="H5" s="20" t="n">
        <v>25.82</v>
      </c>
      <c r="I5" s="18" t="n">
        <v>167.07</v>
      </c>
      <c r="J5" s="18" t="n">
        <v>2039</v>
      </c>
      <c r="K5" s="18" t="n">
        <v>12.37</v>
      </c>
    </row>
    <row r="6">
      <c r="A6" s="9" t="n">
        <v>2023</v>
      </c>
      <c r="B6" s="16" t="n">
        <v>497.54</v>
      </c>
      <c r="C6" s="19" t="n">
        <v>65.59</v>
      </c>
      <c r="D6" s="16" t="n">
        <v>151.29</v>
      </c>
      <c r="E6" s="16" t="n">
        <v>1905.47</v>
      </c>
      <c r="F6" s="16" t="n">
        <v>33.84</v>
      </c>
      <c r="G6" s="16" t="n">
        <v>120.38</v>
      </c>
      <c r="H6" s="19" t="n">
        <v>26.97</v>
      </c>
      <c r="I6" s="16" t="n">
        <v>170.23</v>
      </c>
      <c r="J6" s="16" t="n">
        <v>2072.21</v>
      </c>
      <c r="K6" s="16" t="n">
        <v>12.75</v>
      </c>
    </row>
    <row r="7">
      <c r="A7" s="10" t="n">
        <v>2024</v>
      </c>
      <c r="B7" s="18" t="n">
        <v>538.04</v>
      </c>
      <c r="C7" s="20" t="n">
        <v>68.59</v>
      </c>
      <c r="D7" s="18" t="n">
        <v>162.73</v>
      </c>
      <c r="E7" s="18" t="n">
        <v>1943.05</v>
      </c>
      <c r="F7" s="18" t="n">
        <v>34.53</v>
      </c>
      <c r="G7" s="18" t="n">
        <v>135.4</v>
      </c>
      <c r="H7" s="20" t="n">
        <v>28.79</v>
      </c>
      <c r="I7" s="18" t="n">
        <v>147.81</v>
      </c>
      <c r="J7" s="18" t="n">
        <v>2084.3</v>
      </c>
      <c r="K7" s="18" t="n">
        <v>13.4</v>
      </c>
    </row>
    <row r="8">
      <c r="A8" s="9" t="n">
        <v>2025</v>
      </c>
      <c r="B8" s="16" t="n">
        <v>600.74</v>
      </c>
      <c r="C8" s="19" t="n">
        <v>72.39</v>
      </c>
      <c r="D8" s="16" t="n">
        <v>181.72</v>
      </c>
      <c r="E8" s="16" t="n">
        <v>1969.5</v>
      </c>
      <c r="F8" s="16" t="n">
        <v>35.89</v>
      </c>
      <c r="G8" s="16" t="n">
        <v>175.13</v>
      </c>
      <c r="H8" s="19" t="n">
        <v>37.13</v>
      </c>
      <c r="I8" s="16" t="n">
        <v>147.78</v>
      </c>
      <c r="J8" s="16" t="n">
        <v>2269.23</v>
      </c>
      <c r="K8" s="16" t="n">
        <v>15.94</v>
      </c>
    </row>
  </sheetData>
  <mergeCells count="1">
    <mergeCell ref="A1:K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D97757"/>
    <outlinePr summaryBelow="1" summaryRight="1"/>
    <pageSetUpPr/>
  </sheetPr>
  <dimension ref="A1:J75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可视化图表汇总 (25+ 原生Excel图表)</t>
        </is>
      </c>
    </row>
    <row r="3">
      <c r="A3" s="8" t="inlineStr">
        <is>
          <t>年份</t>
        </is>
      </c>
      <c r="B3" s="8" t="inlineStr">
        <is>
          <t>BEV</t>
        </is>
      </c>
      <c r="C3" s="8" t="inlineStr">
        <is>
          <t>PHEV</t>
        </is>
      </c>
    </row>
    <row r="4">
      <c r="A4" s="23" t="n">
        <v>2021</v>
      </c>
      <c r="B4" s="23" t="n">
        <v>498</v>
      </c>
      <c r="C4" s="23" t="n">
        <v>84</v>
      </c>
    </row>
    <row r="5">
      <c r="A5" s="23" t="n">
        <v>2022</v>
      </c>
      <c r="B5" s="23" t="n">
        <v>441</v>
      </c>
      <c r="C5" s="23" t="n">
        <v>116</v>
      </c>
    </row>
    <row r="6">
      <c r="A6" s="23" t="n">
        <v>2023</v>
      </c>
      <c r="B6" s="23" t="n">
        <v>663</v>
      </c>
      <c r="C6" s="23" t="n">
        <v>248</v>
      </c>
    </row>
    <row r="7">
      <c r="A7" s="23" t="n">
        <v>2024</v>
      </c>
      <c r="B7" s="23" t="n">
        <v>771</v>
      </c>
      <c r="C7" s="23" t="n">
        <v>394</v>
      </c>
    </row>
    <row r="8">
      <c r="A8" s="23" t="n">
        <v>2025</v>
      </c>
      <c r="B8" s="23" t="n">
        <v>567</v>
      </c>
      <c r="C8" s="23" t="n">
        <v>566</v>
      </c>
    </row>
    <row r="33">
      <c r="A33" s="8" t="inlineStr">
        <is>
          <t>年份</t>
        </is>
      </c>
      <c r="B33" s="8" t="inlineStr">
        <is>
          <t>PHEV占比(%)</t>
        </is>
      </c>
    </row>
    <row r="34">
      <c r="A34" s="23" t="n">
        <v>2021</v>
      </c>
      <c r="B34" s="23" t="n">
        <v>14.4</v>
      </c>
    </row>
    <row r="35">
      <c r="A35" s="23" t="n">
        <v>2022</v>
      </c>
      <c r="B35" s="23" t="n">
        <v>20.8</v>
      </c>
    </row>
    <row r="36">
      <c r="A36" s="23" t="n">
        <v>2023</v>
      </c>
      <c r="B36" s="23" t="n">
        <v>27.2</v>
      </c>
    </row>
    <row r="37">
      <c r="A37" s="23" t="n">
        <v>2024</v>
      </c>
      <c r="B37" s="23" t="n">
        <v>33.8</v>
      </c>
    </row>
    <row r="38">
      <c r="A38" s="23" t="n">
        <v>2025</v>
      </c>
      <c r="B38" s="23" t="n">
        <v>50</v>
      </c>
    </row>
    <row r="63">
      <c r="A63" s="8" t="inlineStr">
        <is>
          <t>年份</t>
        </is>
      </c>
      <c r="B63" s="8" t="inlineStr">
        <is>
          <t>均值(km)</t>
        </is>
      </c>
      <c r="C63" s="8" t="inlineStr">
        <is>
          <t>中位数(km)</t>
        </is>
      </c>
    </row>
    <row r="64">
      <c r="A64" s="23" t="n">
        <v>2021</v>
      </c>
      <c r="B64" s="23" t="n">
        <v>413.32</v>
      </c>
      <c r="C64" s="23" t="n">
        <v>415</v>
      </c>
    </row>
    <row r="65">
      <c r="A65" s="23" t="n">
        <v>2022</v>
      </c>
      <c r="B65" s="23" t="n">
        <v>443.8</v>
      </c>
      <c r="C65" s="23" t="n">
        <v>460</v>
      </c>
    </row>
    <row r="66">
      <c r="A66" s="23" t="n">
        <v>2023</v>
      </c>
      <c r="B66" s="23" t="n">
        <v>497.54</v>
      </c>
      <c r="C66" s="23" t="n">
        <v>520</v>
      </c>
    </row>
    <row r="67">
      <c r="A67" s="23" t="n">
        <v>2024</v>
      </c>
      <c r="B67" s="23" t="n">
        <v>538.04</v>
      </c>
      <c r="C67" s="23" t="n">
        <v>550</v>
      </c>
    </row>
    <row r="68">
      <c r="A68" s="23" t="n">
        <v>2025</v>
      </c>
      <c r="B68" s="23" t="n">
        <v>600.74</v>
      </c>
      <c r="C68" s="23" t="n">
        <v>618</v>
      </c>
    </row>
    <row r="93">
      <c r="A93" s="8" t="inlineStr">
        <is>
          <t>年份</t>
        </is>
      </c>
      <c r="B93" s="8" t="inlineStr">
        <is>
          <t>均值(km)</t>
        </is>
      </c>
      <c r="C93" s="8" t="inlineStr">
        <is>
          <t>中位数(km)</t>
        </is>
      </c>
    </row>
    <row r="94">
      <c r="A94" s="23" t="n">
        <v>2021</v>
      </c>
      <c r="B94" s="23" t="n">
        <v>101.55</v>
      </c>
      <c r="C94" s="23" t="n">
        <v>101</v>
      </c>
    </row>
    <row r="95">
      <c r="A95" s="23" t="n">
        <v>2022</v>
      </c>
      <c r="B95" s="23" t="n">
        <v>113.23</v>
      </c>
      <c r="C95" s="23" t="n">
        <v>94</v>
      </c>
    </row>
    <row r="96">
      <c r="A96" s="23" t="n">
        <v>2023</v>
      </c>
      <c r="B96" s="23" t="n">
        <v>120.38</v>
      </c>
      <c r="C96" s="23" t="n">
        <v>110.5</v>
      </c>
    </row>
    <row r="97">
      <c r="A97" s="23" t="n">
        <v>2024</v>
      </c>
      <c r="B97" s="23" t="n">
        <v>135.4</v>
      </c>
      <c r="C97" s="23" t="n">
        <v>126</v>
      </c>
    </row>
    <row r="98">
      <c r="A98" s="23" t="n">
        <v>2025</v>
      </c>
      <c r="B98" s="23" t="n">
        <v>175.13</v>
      </c>
      <c r="C98" s="23" t="n">
        <v>160</v>
      </c>
    </row>
    <row r="123">
      <c r="A123" s="8" t="inlineStr">
        <is>
          <t>年份</t>
        </is>
      </c>
      <c r="B123" s="8" t="inlineStr">
        <is>
          <t>BEV容量(kWh)</t>
        </is>
      </c>
    </row>
    <row r="124">
      <c r="A124" s="23" t="n">
        <v>2021</v>
      </c>
      <c r="B124" s="23" t="n">
        <v>54.12</v>
      </c>
    </row>
    <row r="125">
      <c r="A125" s="23" t="n">
        <v>2022</v>
      </c>
      <c r="B125" s="23" t="n">
        <v>58.03</v>
      </c>
    </row>
    <row r="126">
      <c r="A126" s="23" t="n">
        <v>2023</v>
      </c>
      <c r="B126" s="23" t="n">
        <v>65.59</v>
      </c>
    </row>
    <row r="127">
      <c r="A127" s="23" t="n">
        <v>2024</v>
      </c>
      <c r="B127" s="23" t="n">
        <v>68.59</v>
      </c>
    </row>
    <row r="128">
      <c r="A128" s="23" t="n">
        <v>2025</v>
      </c>
      <c r="B128" s="23" t="n">
        <v>72.39</v>
      </c>
    </row>
    <row r="153">
      <c r="A153" s="8" t="inlineStr">
        <is>
          <t>年份</t>
        </is>
      </c>
      <c r="B153" s="8" t="inlineStr">
        <is>
          <t>PHEV容量(kWh)</t>
        </is>
      </c>
    </row>
    <row r="154">
      <c r="A154" s="23" t="n">
        <v>2021</v>
      </c>
      <c r="B154" s="23" t="n">
        <v>22.08</v>
      </c>
    </row>
    <row r="155">
      <c r="A155" s="23" t="n">
        <v>2022</v>
      </c>
      <c r="B155" s="23" t="n">
        <v>25.82</v>
      </c>
    </row>
    <row r="156">
      <c r="A156" s="23" t="n">
        <v>2023</v>
      </c>
      <c r="B156" s="23" t="n">
        <v>26.97</v>
      </c>
    </row>
    <row r="157">
      <c r="A157" s="23" t="n">
        <v>2024</v>
      </c>
      <c r="B157" s="23" t="n">
        <v>28.79</v>
      </c>
    </row>
    <row r="158">
      <c r="A158" s="23" t="n">
        <v>2025</v>
      </c>
      <c r="B158" s="23" t="n">
        <v>37.13</v>
      </c>
    </row>
    <row r="183">
      <c r="A183" s="8" t="inlineStr">
        <is>
          <t>年份</t>
        </is>
      </c>
      <c r="B183" s="8" t="inlineStr">
        <is>
          <t>三元锂</t>
        </is>
      </c>
      <c r="C183" s="8" t="inlineStr">
        <is>
          <t>磷酸铁锂</t>
        </is>
      </c>
      <c r="D183" s="8" t="inlineStr">
        <is>
          <t>其他锂离子</t>
        </is>
      </c>
      <c r="E183" s="8" t="inlineStr">
        <is>
          <t>未知</t>
        </is>
      </c>
      <c r="F183" s="8" t="inlineStr">
        <is>
          <t>钠离子</t>
        </is>
      </c>
      <c r="G183" s="8" t="inlineStr">
        <is>
          <t>锰酸锂</t>
        </is>
      </c>
    </row>
    <row r="184">
      <c r="A184" s="23" t="n">
        <v>2021</v>
      </c>
      <c r="B184" s="23" t="n">
        <v>250</v>
      </c>
      <c r="C184" s="23" t="n">
        <v>222</v>
      </c>
      <c r="D184" s="23" t="n">
        <v>15</v>
      </c>
      <c r="E184" s="23" t="n">
        <v>10</v>
      </c>
      <c r="F184" s="23" t="n">
        <v>0</v>
      </c>
      <c r="G184" s="23" t="n">
        <v>1</v>
      </c>
    </row>
    <row r="185">
      <c r="A185" s="23" t="n">
        <v>2022</v>
      </c>
      <c r="B185" s="23" t="n">
        <v>180</v>
      </c>
      <c r="C185" s="23" t="n">
        <v>190</v>
      </c>
      <c r="D185" s="23" t="n">
        <v>10</v>
      </c>
      <c r="E185" s="23" t="n">
        <v>61</v>
      </c>
      <c r="F185" s="23" t="n">
        <v>0</v>
      </c>
      <c r="G185" s="23" t="n">
        <v>0</v>
      </c>
    </row>
    <row r="186">
      <c r="A186" s="23" t="n">
        <v>2023</v>
      </c>
      <c r="B186" s="23" t="n">
        <v>268</v>
      </c>
      <c r="C186" s="23" t="n">
        <v>267</v>
      </c>
      <c r="D186" s="23" t="n">
        <v>4</v>
      </c>
      <c r="E186" s="23" t="n">
        <v>121</v>
      </c>
      <c r="F186" s="23" t="n">
        <v>3</v>
      </c>
      <c r="G186" s="23" t="n">
        <v>0</v>
      </c>
    </row>
    <row r="187">
      <c r="A187" s="23" t="n">
        <v>2024</v>
      </c>
      <c r="B187" s="23" t="n">
        <v>203</v>
      </c>
      <c r="C187" s="23" t="n">
        <v>498</v>
      </c>
      <c r="D187" s="23" t="n">
        <v>6</v>
      </c>
      <c r="E187" s="23" t="n">
        <v>64</v>
      </c>
      <c r="F187" s="23" t="n">
        <v>0</v>
      </c>
      <c r="G187" s="23" t="n">
        <v>0</v>
      </c>
    </row>
    <row r="188">
      <c r="A188" s="23" t="n">
        <v>2025</v>
      </c>
      <c r="B188" s="23" t="n">
        <v>99</v>
      </c>
      <c r="C188" s="23" t="n">
        <v>372</v>
      </c>
      <c r="D188" s="23" t="n">
        <v>13</v>
      </c>
      <c r="E188" s="23" t="n">
        <v>83</v>
      </c>
      <c r="F188" s="23" t="n">
        <v>0</v>
      </c>
      <c r="G188" s="23" t="n">
        <v>0</v>
      </c>
    </row>
    <row r="213">
      <c r="A213" s="8" t="inlineStr">
        <is>
          <t>年份</t>
        </is>
      </c>
      <c r="B213" s="8" t="inlineStr">
        <is>
          <t>BEV(Wh/kg)</t>
        </is>
      </c>
      <c r="C213" s="8" t="inlineStr">
        <is>
          <t>PHEV(Wh/kg)</t>
        </is>
      </c>
    </row>
    <row r="214">
      <c r="A214" s="23" t="n">
        <v>2021</v>
      </c>
      <c r="B214" s="23" t="n">
        <v>150.06</v>
      </c>
      <c r="C214" s="23" t="n">
        <v>118.55</v>
      </c>
    </row>
    <row r="215">
      <c r="A215" s="23" t="n">
        <v>2022</v>
      </c>
      <c r="B215" s="23" t="n">
        <v>152.42</v>
      </c>
      <c r="C215" s="23" t="n">
        <v>127.74</v>
      </c>
    </row>
    <row r="216">
      <c r="A216" s="23" t="n">
        <v>2023</v>
      </c>
      <c r="B216" s="23" t="n">
        <v>157.93</v>
      </c>
      <c r="C216" s="23" t="n">
        <v>128.85</v>
      </c>
    </row>
    <row r="217">
      <c r="A217" s="23" t="n">
        <v>2024</v>
      </c>
      <c r="B217" s="23" t="n">
        <v>145.82</v>
      </c>
      <c r="C217" s="23" t="n">
        <v>122.73</v>
      </c>
    </row>
    <row r="218">
      <c r="A218" s="23" t="n">
        <v>2025</v>
      </c>
      <c r="B218" s="23" t="n">
        <v>162.02</v>
      </c>
      <c r="C218" s="23" t="n">
        <v>142.41</v>
      </c>
    </row>
    <row r="243">
      <c r="A243" s="8" t="inlineStr">
        <is>
          <t>续航区间(km)</t>
        </is>
      </c>
      <c r="B243" s="8" t="inlineStr">
        <is>
          <t>数量</t>
        </is>
      </c>
    </row>
    <row r="244">
      <c r="A244" s="23" t="inlineStr">
        <is>
          <t>100-150</t>
        </is>
      </c>
      <c r="B244" s="23" t="n">
        <v>45</v>
      </c>
    </row>
    <row r="245">
      <c r="A245" s="23" t="inlineStr">
        <is>
          <t>150-200</t>
        </is>
      </c>
      <c r="B245" s="23" t="n">
        <v>82</v>
      </c>
    </row>
    <row r="246">
      <c r="A246" s="23" t="inlineStr">
        <is>
          <t>200-250</t>
        </is>
      </c>
      <c r="B246" s="23" t="n">
        <v>120</v>
      </c>
    </row>
    <row r="247">
      <c r="A247" s="23" t="inlineStr">
        <is>
          <t>250-300</t>
        </is>
      </c>
      <c r="B247" s="23" t="n">
        <v>65</v>
      </c>
    </row>
    <row r="248">
      <c r="A248" s="23" t="inlineStr">
        <is>
          <t>300-350</t>
        </is>
      </c>
      <c r="B248" s="23" t="n">
        <v>219</v>
      </c>
    </row>
    <row r="249">
      <c r="A249" s="23" t="inlineStr">
        <is>
          <t>350-400</t>
        </is>
      </c>
      <c r="B249" s="23" t="n">
        <v>48</v>
      </c>
    </row>
    <row r="250">
      <c r="A250" s="23" t="inlineStr">
        <is>
          <t>400-450</t>
        </is>
      </c>
      <c r="B250" s="23" t="n">
        <v>409</v>
      </c>
    </row>
    <row r="251">
      <c r="A251" s="23" t="inlineStr">
        <is>
          <t>450-500</t>
        </is>
      </c>
      <c r="B251" s="23" t="n">
        <v>136</v>
      </c>
    </row>
    <row r="252">
      <c r="A252" s="23" t="inlineStr">
        <is>
          <t>500-550</t>
        </is>
      </c>
      <c r="B252" s="23" t="n">
        <v>483</v>
      </c>
    </row>
    <row r="253">
      <c r="A253" s="23" t="inlineStr">
        <is>
          <t>550-600</t>
        </is>
      </c>
      <c r="B253" s="23" t="n">
        <v>255</v>
      </c>
    </row>
    <row r="254">
      <c r="A254" s="23" t="inlineStr">
        <is>
          <t>600-650</t>
        </is>
      </c>
      <c r="B254" s="23" t="n">
        <v>373</v>
      </c>
    </row>
    <row r="255">
      <c r="A255" s="23" t="inlineStr">
        <is>
          <t>650-700</t>
        </is>
      </c>
      <c r="B255" s="23" t="n">
        <v>192</v>
      </c>
    </row>
    <row r="256">
      <c r="A256" s="23" t="inlineStr">
        <is>
          <t>700-750</t>
        </is>
      </c>
      <c r="B256" s="23" t="n">
        <v>216</v>
      </c>
    </row>
    <row r="257">
      <c r="A257" s="23" t="inlineStr">
        <is>
          <t>750-800</t>
        </is>
      </c>
      <c r="B257" s="23" t="n">
        <v>69</v>
      </c>
    </row>
    <row r="258">
      <c r="A258" s="23" t="inlineStr">
        <is>
          <t>800-850</t>
        </is>
      </c>
      <c r="B258" s="23" t="n">
        <v>48</v>
      </c>
    </row>
    <row r="259">
      <c r="A259" s="23" t="inlineStr">
        <is>
          <t>850-900</t>
        </is>
      </c>
      <c r="B259" s="23" t="n">
        <v>41</v>
      </c>
    </row>
    <row r="273">
      <c r="A273" s="8" t="inlineStr">
        <is>
          <t>续航区间(km)</t>
        </is>
      </c>
      <c r="B273" s="8" t="inlineStr">
        <is>
          <t>数量</t>
        </is>
      </c>
    </row>
    <row r="274">
      <c r="A274" s="23" t="inlineStr">
        <is>
          <t>25-50</t>
        </is>
      </c>
      <c r="B274" s="23" t="n">
        <v>60</v>
      </c>
    </row>
    <row r="275">
      <c r="A275" s="23" t="inlineStr">
        <is>
          <t>50-75</t>
        </is>
      </c>
      <c r="B275" s="23" t="n">
        <v>68</v>
      </c>
    </row>
    <row r="276">
      <c r="A276" s="23" t="inlineStr">
        <is>
          <t>75-100</t>
        </is>
      </c>
      <c r="B276" s="23" t="n">
        <v>188</v>
      </c>
    </row>
    <row r="277">
      <c r="A277" s="23" t="inlineStr">
        <is>
          <t>100-125</t>
        </is>
      </c>
      <c r="B277" s="23" t="n">
        <v>281</v>
      </c>
    </row>
    <row r="278">
      <c r="A278" s="23" t="inlineStr">
        <is>
          <t>125-150</t>
        </is>
      </c>
      <c r="B278" s="23" t="n">
        <v>126</v>
      </c>
    </row>
    <row r="279">
      <c r="A279" s="23" t="inlineStr">
        <is>
          <t>150-175</t>
        </is>
      </c>
      <c r="B279" s="23" t="n">
        <v>245</v>
      </c>
    </row>
    <row r="280">
      <c r="A280" s="23" t="inlineStr">
        <is>
          <t>175-200</t>
        </is>
      </c>
      <c r="B280" s="23" t="n">
        <v>131</v>
      </c>
    </row>
    <row r="281">
      <c r="A281" s="23" t="inlineStr">
        <is>
          <t>200-225</t>
        </is>
      </c>
      <c r="B281" s="23" t="n">
        <v>83</v>
      </c>
    </row>
    <row r="282">
      <c r="A282" s="23" t="inlineStr">
        <is>
          <t>225-250</t>
        </is>
      </c>
      <c r="B282" s="23" t="n">
        <v>33</v>
      </c>
    </row>
    <row r="283">
      <c r="A283" s="23" t="inlineStr">
        <is>
          <t>250-275</t>
        </is>
      </c>
      <c r="B283" s="23" t="n">
        <v>18</v>
      </c>
    </row>
    <row r="284">
      <c r="A284" s="23" t="inlineStr">
        <is>
          <t>275-300</t>
        </is>
      </c>
      <c r="B284" s="23" t="n">
        <v>20</v>
      </c>
    </row>
    <row r="285">
      <c r="A285" s="23" t="inlineStr">
        <is>
          <t>300-325</t>
        </is>
      </c>
      <c r="B285" s="23" t="n">
        <v>21</v>
      </c>
    </row>
    <row r="286">
      <c r="A286" s="23" t="inlineStr">
        <is>
          <t>325-350</t>
        </is>
      </c>
      <c r="B286" s="23" t="n">
        <v>18</v>
      </c>
    </row>
    <row r="287">
      <c r="A287" s="23" t="inlineStr">
        <is>
          <t>350-375</t>
        </is>
      </c>
      <c r="B287" s="23" t="n">
        <v>16</v>
      </c>
    </row>
    <row r="303">
      <c r="A303" s="8" t="inlineStr">
        <is>
          <t>年份</t>
        </is>
      </c>
      <c r="B303" s="8" t="inlineStr">
        <is>
          <t>BEV功率(kW)</t>
        </is>
      </c>
    </row>
    <row r="304">
      <c r="A304" s="23" t="n">
        <v>2021</v>
      </c>
      <c r="B304" s="23" t="n">
        <v>139.47</v>
      </c>
    </row>
    <row r="305">
      <c r="A305" s="23" t="n">
        <v>2022</v>
      </c>
      <c r="B305" s="23" t="n">
        <v>141.15</v>
      </c>
    </row>
    <row r="306">
      <c r="A306" s="23" t="n">
        <v>2023</v>
      </c>
      <c r="B306" s="23" t="n">
        <v>151.29</v>
      </c>
    </row>
    <row r="307">
      <c r="A307" s="23" t="n">
        <v>2024</v>
      </c>
      <c r="B307" s="23" t="n">
        <v>162.73</v>
      </c>
    </row>
    <row r="308">
      <c r="A308" s="23" t="n">
        <v>2025</v>
      </c>
      <c r="B308" s="23" t="n">
        <v>181.72</v>
      </c>
    </row>
    <row r="333">
      <c r="A333" s="8" t="inlineStr">
        <is>
          <t>年份</t>
        </is>
      </c>
      <c r="B333" s="8" t="inlineStr">
        <is>
          <t>BEV(kg)</t>
        </is>
      </c>
      <c r="C333" s="8" t="inlineStr">
        <is>
          <t>PHEV(kg)</t>
        </is>
      </c>
    </row>
    <row r="334">
      <c r="A334" s="23" t="n">
        <v>2021</v>
      </c>
      <c r="B334" s="23" t="n">
        <v>1589.48</v>
      </c>
      <c r="C334" s="23" t="n">
        <v>1921.05</v>
      </c>
    </row>
    <row r="335">
      <c r="A335" s="23" t="n">
        <v>2022</v>
      </c>
      <c r="B335" s="23" t="n">
        <v>1681.56</v>
      </c>
      <c r="C335" s="23" t="n">
        <v>2039</v>
      </c>
    </row>
    <row r="336">
      <c r="A336" s="23" t="n">
        <v>2023</v>
      </c>
      <c r="B336" s="23" t="n">
        <v>1905.47</v>
      </c>
      <c r="C336" s="23" t="n">
        <v>2072.21</v>
      </c>
    </row>
    <row r="337">
      <c r="A337" s="23" t="n">
        <v>2024</v>
      </c>
      <c r="B337" s="23" t="n">
        <v>1943.05</v>
      </c>
      <c r="C337" s="23" t="n">
        <v>2084.3</v>
      </c>
    </row>
    <row r="338">
      <c r="A338" s="23" t="n">
        <v>2025</v>
      </c>
      <c r="B338" s="23" t="n">
        <v>1969.5</v>
      </c>
      <c r="C338" s="23" t="n">
        <v>2269.23</v>
      </c>
    </row>
    <row r="363">
      <c r="A363" s="8" t="inlineStr">
        <is>
          <t>年份</t>
        </is>
      </c>
      <c r="B363" s="8" t="inlineStr">
        <is>
          <t>BEV(kW/kg)</t>
        </is>
      </c>
      <c r="C363" s="8" t="inlineStr">
        <is>
          <t>PHEV(kW/kg)</t>
        </is>
      </c>
    </row>
    <row r="364">
      <c r="A364" s="23" t="n">
        <v>2021</v>
      </c>
      <c r="B364" s="23" t="n">
        <v>88.37</v>
      </c>
      <c r="C364" s="23" t="n">
        <v>103.83</v>
      </c>
    </row>
    <row r="365">
      <c r="A365" s="23" t="n">
        <v>2022</v>
      </c>
      <c r="B365" s="23" t="n">
        <v>84.48999999999999</v>
      </c>
      <c r="C365" s="23" t="n">
        <v>80.8</v>
      </c>
    </row>
    <row r="366">
      <c r="A366" s="23" t="n">
        <v>2023</v>
      </c>
      <c r="B366" s="23" t="n">
        <v>84.05</v>
      </c>
      <c r="C366" s="23" t="n">
        <v>82</v>
      </c>
    </row>
    <row r="367">
      <c r="A367" s="23" t="n">
        <v>2024</v>
      </c>
      <c r="B367" s="23" t="n">
        <v>85.13</v>
      </c>
      <c r="C367" s="23" t="n">
        <v>73.53</v>
      </c>
    </row>
    <row r="368">
      <c r="A368" s="23" t="n">
        <v>2025</v>
      </c>
      <c r="B368" s="23" t="n">
        <v>90.37</v>
      </c>
      <c r="C368" s="23" t="n">
        <v>66.84999999999999</v>
      </c>
    </row>
    <row r="393">
      <c r="A393" s="8" t="inlineStr">
        <is>
          <t>年份</t>
        </is>
      </c>
      <c r="B393" s="8" t="inlineStr">
        <is>
          <t>BEV(Wh/kg)</t>
        </is>
      </c>
      <c r="C393" s="8" t="inlineStr">
        <is>
          <t>PHEV(Wh/kg)</t>
        </is>
      </c>
    </row>
    <row r="394">
      <c r="A394" s="23" t="n">
        <v>2021</v>
      </c>
      <c r="B394" s="23" t="n">
        <v>32.56</v>
      </c>
      <c r="C394" s="23" t="n">
        <v>11.01</v>
      </c>
    </row>
    <row r="395">
      <c r="A395" s="23" t="n">
        <v>2022</v>
      </c>
      <c r="B395" s="23" t="n">
        <v>32.76</v>
      </c>
      <c r="C395" s="23" t="n">
        <v>12.37</v>
      </c>
    </row>
    <row r="396">
      <c r="A396" s="23" t="n">
        <v>2023</v>
      </c>
      <c r="B396" s="23" t="n">
        <v>33.84</v>
      </c>
      <c r="C396" s="23" t="n">
        <v>12.75</v>
      </c>
    </row>
    <row r="397">
      <c r="A397" s="23" t="n">
        <v>2024</v>
      </c>
      <c r="B397" s="23" t="n">
        <v>34.53</v>
      </c>
      <c r="C397" s="23" t="n">
        <v>13.4</v>
      </c>
    </row>
    <row r="398">
      <c r="A398" s="23" t="n">
        <v>2025</v>
      </c>
      <c r="B398" s="23" t="n">
        <v>35.89</v>
      </c>
      <c r="C398" s="23" t="n">
        <v>15.94</v>
      </c>
    </row>
    <row r="423">
      <c r="A423" s="8" t="inlineStr">
        <is>
          <t>年份</t>
        </is>
      </c>
      <c r="B423" s="8" t="inlineStr">
        <is>
          <t>电耗(kWh/100km)</t>
        </is>
      </c>
    </row>
    <row r="424">
      <c r="A424" s="23" t="n">
        <v>2021</v>
      </c>
      <c r="B424" s="23" t="n">
        <v>13.35</v>
      </c>
    </row>
    <row r="425">
      <c r="A425" s="23" t="n">
        <v>2022</v>
      </c>
      <c r="B425" s="23" t="n">
        <v>13.5</v>
      </c>
    </row>
    <row r="426">
      <c r="A426" s="23" t="n">
        <v>2023</v>
      </c>
      <c r="B426" s="23" t="n">
        <v>15.07</v>
      </c>
    </row>
    <row r="427">
      <c r="A427" s="23" t="n">
        <v>2024</v>
      </c>
      <c r="B427" s="23" t="n">
        <v>12.84</v>
      </c>
    </row>
    <row r="428">
      <c r="A428" s="23" t="n">
        <v>2025</v>
      </c>
      <c r="B428" s="23" t="n">
        <v>14.07</v>
      </c>
    </row>
    <row r="453">
      <c r="A453" s="8" t="inlineStr">
        <is>
          <t>年份</t>
        </is>
      </c>
      <c r="B453" s="8" t="inlineStr">
        <is>
          <t>综合油耗</t>
        </is>
      </c>
      <c r="C453" s="8" t="inlineStr">
        <is>
          <t>B状态油耗</t>
        </is>
      </c>
    </row>
    <row r="454">
      <c r="A454" s="23" t="n">
        <v>2021</v>
      </c>
      <c r="B454" s="23" t="n">
        <v>2.66</v>
      </c>
      <c r="C454" s="23" t="n">
        <v>4.77</v>
      </c>
    </row>
    <row r="455">
      <c r="A455" s="23" t="n">
        <v>2022</v>
      </c>
      <c r="B455" s="23" t="n">
        <v>2.55</v>
      </c>
      <c r="C455" s="23" t="n">
        <v>6.08</v>
      </c>
    </row>
    <row r="456">
      <c r="A456" s="23" t="n">
        <v>2023</v>
      </c>
      <c r="B456" s="23" t="n">
        <v>0.98</v>
      </c>
      <c r="C456" s="23" t="n">
        <v>6</v>
      </c>
    </row>
    <row r="457">
      <c r="A457" s="23" t="n">
        <v>2024</v>
      </c>
      <c r="B457" s="23" t="n">
        <v>0.8</v>
      </c>
      <c r="C457" s="23" t="n">
        <v>5.66</v>
      </c>
    </row>
    <row r="458">
      <c r="A458" s="23" t="n">
        <v>2025</v>
      </c>
      <c r="B458" s="23" t="n">
        <v>5.87</v>
      </c>
      <c r="C458" s="23" t="n">
        <v>5.29</v>
      </c>
    </row>
    <row r="483">
      <c r="A483" s="8" t="inlineStr">
        <is>
          <t>年份</t>
        </is>
      </c>
      <c r="B483" s="8" t="inlineStr">
        <is>
          <t>电池HHI</t>
        </is>
      </c>
    </row>
    <row r="484">
      <c r="A484" s="23" t="n">
        <v>2021</v>
      </c>
      <c r="B484" s="23" t="n">
        <v>610.8</v>
      </c>
    </row>
    <row r="485">
      <c r="A485" s="23" t="n">
        <v>2022</v>
      </c>
      <c r="B485" s="23" t="n">
        <v>858.8</v>
      </c>
    </row>
    <row r="486">
      <c r="A486" s="23" t="n">
        <v>2023</v>
      </c>
      <c r="B486" s="23" t="n">
        <v>795.3</v>
      </c>
    </row>
    <row r="487">
      <c r="A487" s="23" t="n">
        <v>2024</v>
      </c>
      <c r="B487" s="23" t="n">
        <v>638.4</v>
      </c>
    </row>
    <row r="488">
      <c r="A488" s="23" t="n">
        <v>2025</v>
      </c>
      <c r="B488" s="23" t="n">
        <v>1233.8</v>
      </c>
    </row>
    <row r="513">
      <c r="A513" s="8" t="inlineStr">
        <is>
          <t>年份</t>
        </is>
      </c>
      <c r="B513" s="8" t="inlineStr">
        <is>
          <t>电机HHI</t>
        </is>
      </c>
    </row>
    <row r="514">
      <c r="A514" s="23" t="n">
        <v>2021</v>
      </c>
      <c r="B514" s="23" t="n">
        <v>240.3</v>
      </c>
    </row>
    <row r="515">
      <c r="A515" s="23" t="n">
        <v>2022</v>
      </c>
      <c r="B515" s="23" t="n">
        <v>304.3</v>
      </c>
    </row>
    <row r="516">
      <c r="A516" s="23" t="n">
        <v>2023</v>
      </c>
      <c r="B516" s="23" t="n">
        <v>382.1</v>
      </c>
    </row>
    <row r="517">
      <c r="A517" s="23" t="n">
        <v>2024</v>
      </c>
      <c r="B517" s="23" t="n">
        <v>299.7</v>
      </c>
    </row>
    <row r="518">
      <c r="A518" s="23" t="n">
        <v>2025</v>
      </c>
      <c r="B518" s="23" t="n">
        <v>286.9</v>
      </c>
    </row>
    <row r="543">
      <c r="A543" s="8" t="inlineStr">
        <is>
          <t>年份</t>
        </is>
      </c>
      <c r="B543" s="8" t="inlineStr">
        <is>
          <t>CR3(%)</t>
        </is>
      </c>
      <c r="C543" s="8" t="inlineStr">
        <is>
          <t>CR5(%)</t>
        </is>
      </c>
      <c r="D543" s="8" t="inlineStr">
        <is>
          <t>CR10(%)</t>
        </is>
      </c>
    </row>
    <row r="544">
      <c r="A544" s="23" t="n">
        <v>2021</v>
      </c>
      <c r="B544" s="23" t="n">
        <v>35.4</v>
      </c>
      <c r="C544" s="23" t="n">
        <v>45.7</v>
      </c>
      <c r="D544" s="23" t="n">
        <v>56.4</v>
      </c>
    </row>
    <row r="545">
      <c r="A545" s="23" t="n">
        <v>2022</v>
      </c>
      <c r="B545" s="23" t="n">
        <v>42</v>
      </c>
      <c r="C545" s="23" t="n">
        <v>52.8</v>
      </c>
      <c r="D545" s="23" t="n">
        <v>64.59999999999999</v>
      </c>
    </row>
    <row r="546">
      <c r="A546" s="23" t="n">
        <v>2023</v>
      </c>
      <c r="B546" s="23" t="n">
        <v>37.7</v>
      </c>
      <c r="C546" s="23" t="n">
        <v>52.7</v>
      </c>
      <c r="D546" s="23" t="n">
        <v>72.5</v>
      </c>
    </row>
    <row r="547">
      <c r="A547" s="23" t="n">
        <v>2024</v>
      </c>
      <c r="B547" s="23" t="n">
        <v>37.7</v>
      </c>
      <c r="C547" s="23" t="n">
        <v>50</v>
      </c>
      <c r="D547" s="23" t="n">
        <v>64.8</v>
      </c>
    </row>
    <row r="548">
      <c r="A548" s="23" t="n">
        <v>2025</v>
      </c>
      <c r="B548" s="23" t="n">
        <v>45.9</v>
      </c>
      <c r="C548" s="23" t="n">
        <v>55.5</v>
      </c>
      <c r="D548" s="23" t="n">
        <v>76</v>
      </c>
    </row>
    <row r="573">
      <c r="A573" s="8" t="inlineStr">
        <is>
          <t>年份</t>
        </is>
      </c>
      <c r="B573" s="8" t="inlineStr">
        <is>
          <t>CR3(%)</t>
        </is>
      </c>
      <c r="C573" s="8" t="inlineStr">
        <is>
          <t>CR5(%)</t>
        </is>
      </c>
      <c r="D573" s="8" t="inlineStr">
        <is>
          <t>CR10(%)</t>
        </is>
      </c>
    </row>
    <row r="574">
      <c r="A574" s="23" t="n">
        <v>2021</v>
      </c>
      <c r="B574" s="23" t="n">
        <v>18.8</v>
      </c>
      <c r="C574" s="23" t="n">
        <v>25.5</v>
      </c>
      <c r="D574" s="23" t="n">
        <v>38.4</v>
      </c>
    </row>
    <row r="575">
      <c r="A575" s="23" t="n">
        <v>2022</v>
      </c>
      <c r="B575" s="23" t="n">
        <v>23.5</v>
      </c>
      <c r="C575" s="23" t="n">
        <v>31.5</v>
      </c>
      <c r="D575" s="23" t="n">
        <v>45</v>
      </c>
    </row>
    <row r="576">
      <c r="A576" s="23" t="n">
        <v>2023</v>
      </c>
      <c r="B576" s="23" t="n">
        <v>28.4</v>
      </c>
      <c r="C576" s="23" t="n">
        <v>35.4</v>
      </c>
      <c r="D576" s="23" t="n">
        <v>45.6</v>
      </c>
    </row>
    <row r="577">
      <c r="A577" s="23" t="n">
        <v>2024</v>
      </c>
      <c r="B577" s="23" t="n">
        <v>22.1</v>
      </c>
      <c r="C577" s="23" t="n">
        <v>29.6</v>
      </c>
      <c r="D577" s="23" t="n">
        <v>44.4</v>
      </c>
    </row>
    <row r="578">
      <c r="A578" s="23" t="n">
        <v>2025</v>
      </c>
      <c r="B578" s="23" t="n">
        <v>15.2</v>
      </c>
      <c r="C578" s="23" t="n">
        <v>23.8</v>
      </c>
      <c r="D578" s="23" t="n">
        <v>42.5</v>
      </c>
    </row>
    <row r="603">
      <c r="A603" s="8" t="inlineStr">
        <is>
          <t>供应商</t>
        </is>
      </c>
      <c r="B603" s="8" t="inlineStr">
        <is>
          <t>数量</t>
        </is>
      </c>
    </row>
    <row r="604">
      <c r="A604" s="23" t="inlineStr">
        <is>
          <t>宁德时代</t>
        </is>
      </c>
      <c r="B604" s="23" t="n">
        <v>584</v>
      </c>
    </row>
    <row r="605">
      <c r="A605" s="23" t="inlineStr">
        <is>
          <t>国轩高科</t>
        </is>
      </c>
      <c r="B605" s="23" t="n">
        <v>269</v>
      </c>
    </row>
    <row r="606">
      <c r="A606" s="23" t="inlineStr">
        <is>
          <t>中创新航</t>
        </is>
      </c>
      <c r="B606" s="23" t="n">
        <v>226</v>
      </c>
    </row>
    <row r="607">
      <c r="A607" s="23" t="inlineStr">
        <is>
          <t>江苏时代</t>
        </is>
      </c>
      <c r="B607" s="23" t="n">
        <v>188</v>
      </c>
    </row>
    <row r="608">
      <c r="A608" s="23" t="inlineStr">
        <is>
          <t>蜂巢能源</t>
        </is>
      </c>
      <c r="B608" s="23" t="n">
        <v>165</v>
      </c>
    </row>
    <row r="609">
      <c r="A609" s="23" t="inlineStr">
        <is>
          <t>弗迪电池</t>
        </is>
      </c>
      <c r="B609" s="23" t="n">
        <v>163</v>
      </c>
    </row>
    <row r="610">
      <c r="A610" s="23" t="inlineStr">
        <is>
          <t>时代上汽</t>
        </is>
      </c>
      <c r="B610" s="23" t="n">
        <v>102</v>
      </c>
    </row>
    <row r="611">
      <c r="A611" s="23" t="inlineStr">
        <is>
          <t>亿纬动力</t>
        </is>
      </c>
      <c r="B611" s="23" t="n">
        <v>94</v>
      </c>
    </row>
    <row r="612">
      <c r="A612" s="23" t="inlineStr">
        <is>
          <t>欣旺达</t>
        </is>
      </c>
      <c r="B612" s="23" t="n">
        <v>43</v>
      </c>
    </row>
    <row r="613">
      <c r="A613" s="23" t="inlineStr">
        <is>
          <t>瑞浦兰钧</t>
        </is>
      </c>
      <c r="B613" s="23" t="n">
        <v>42</v>
      </c>
    </row>
    <row r="633">
      <c r="A633" s="8" t="inlineStr">
        <is>
          <t>供应商</t>
        </is>
      </c>
      <c r="B633" s="8" t="inlineStr">
        <is>
          <t>数量</t>
        </is>
      </c>
    </row>
    <row r="634">
      <c r="A634" s="23" t="inlineStr">
        <is>
          <t>联合汽车电子</t>
        </is>
      </c>
      <c r="B634" s="23" t="n">
        <v>216</v>
      </c>
    </row>
    <row r="635">
      <c r="A635" s="23" t="inlineStr">
        <is>
          <t>苏州汇川</t>
        </is>
      </c>
      <c r="B635" s="23" t="n">
        <v>164</v>
      </c>
    </row>
    <row r="636">
      <c r="A636" s="23" t="inlineStr">
        <is>
          <t>衢州极电</t>
        </is>
      </c>
      <c r="B636" s="23" t="n">
        <v>73</v>
      </c>
    </row>
    <row r="637">
      <c r="A637" s="23" t="inlineStr">
        <is>
          <t>威睿电动</t>
        </is>
      </c>
      <c r="B637" s="23" t="n">
        <v>72</v>
      </c>
    </row>
    <row r="638">
      <c r="A638" s="23" t="inlineStr">
        <is>
          <t>方正电机</t>
        </is>
      </c>
      <c r="B638" s="23" t="n">
        <v>72</v>
      </c>
    </row>
    <row r="639">
      <c r="A639" s="23" t="inlineStr">
        <is>
          <t>智新科技</t>
        </is>
      </c>
      <c r="B639" s="23" t="n">
        <v>67</v>
      </c>
    </row>
    <row r="640">
      <c r="A640" s="23" t="inlineStr">
        <is>
          <t>珠海英搏尔</t>
        </is>
      </c>
      <c r="B640" s="23" t="n">
        <v>66</v>
      </c>
    </row>
    <row r="641">
      <c r="A641" s="23" t="inlineStr">
        <is>
          <t>奇瑞新能源</t>
        </is>
      </c>
      <c r="B641" s="23" t="n">
        <v>64</v>
      </c>
    </row>
    <row r="642">
      <c r="A642" s="23" t="inlineStr">
        <is>
          <t>锐湃动力</t>
        </is>
      </c>
      <c r="B642" s="23" t="n">
        <v>53</v>
      </c>
    </row>
    <row r="643">
      <c r="A643" s="23" t="inlineStr">
        <is>
          <t>华为数字能源</t>
        </is>
      </c>
      <c r="B643" s="23" t="n">
        <v>52</v>
      </c>
    </row>
    <row r="663">
      <c r="A663" s="8" t="inlineStr">
        <is>
          <t>细分市场</t>
        </is>
      </c>
      <c r="B663" s="8" t="inlineStr">
        <is>
          <t>数量</t>
        </is>
      </c>
    </row>
    <row r="664">
      <c r="A664" s="23" t="inlineStr">
        <is>
          <t>未知</t>
        </is>
      </c>
      <c r="B664" s="23" t="n">
        <v>528</v>
      </c>
    </row>
    <row r="665">
      <c r="A665" s="23" t="inlineStr">
        <is>
          <t>SUV-C</t>
        </is>
      </c>
      <c r="B665" s="23" t="n">
        <v>467</v>
      </c>
    </row>
    <row r="666">
      <c r="A666" s="23" t="inlineStr">
        <is>
          <t>CAR-D</t>
        </is>
      </c>
      <c r="B666" s="23" t="n">
        <v>386</v>
      </c>
    </row>
    <row r="667">
      <c r="A667" s="23" t="inlineStr">
        <is>
          <t>CAR-C</t>
        </is>
      </c>
      <c r="B667" s="23" t="n">
        <v>350</v>
      </c>
    </row>
    <row r="668">
      <c r="A668" s="23" t="inlineStr">
        <is>
          <t>SUV-D</t>
        </is>
      </c>
      <c r="B668" s="23" t="n">
        <v>343</v>
      </c>
    </row>
    <row r="669">
      <c r="A669" s="23" t="inlineStr">
        <is>
          <t>CAR-A</t>
        </is>
      </c>
      <c r="B669" s="23" t="n">
        <v>232</v>
      </c>
    </row>
    <row r="670">
      <c r="A670" s="23" t="inlineStr">
        <is>
          <t>CAR-B</t>
        </is>
      </c>
      <c r="B670" s="23" t="n">
        <v>141</v>
      </c>
    </row>
    <row r="671">
      <c r="A671" s="23" t="inlineStr">
        <is>
          <t>SUV-B</t>
        </is>
      </c>
      <c r="B671" s="23" t="n">
        <v>112</v>
      </c>
    </row>
    <row r="693">
      <c r="A693" s="8" t="inlineStr">
        <is>
          <t>细分市场</t>
        </is>
      </c>
      <c r="B693" s="8" t="inlineStr">
        <is>
          <t>平均续航(km)</t>
        </is>
      </c>
    </row>
    <row r="694">
      <c r="A694" s="23" t="inlineStr">
        <is>
          <t>SUV-C</t>
        </is>
      </c>
      <c r="B694" s="23" t="n">
        <v>533.3</v>
      </c>
    </row>
    <row r="695">
      <c r="A695" s="23" t="inlineStr">
        <is>
          <t>SUV-D</t>
        </is>
      </c>
      <c r="B695" s="23" t="n">
        <v>631.3</v>
      </c>
    </row>
    <row r="696">
      <c r="A696" s="23" t="inlineStr">
        <is>
          <t>未知</t>
        </is>
      </c>
      <c r="B696" s="23" t="n">
        <v>390</v>
      </c>
    </row>
    <row r="697">
      <c r="A697" s="23" t="inlineStr">
        <is>
          <t>CAR-D</t>
        </is>
      </c>
      <c r="B697" s="23" t="n">
        <v>647.8</v>
      </c>
    </row>
    <row r="698">
      <c r="A698" s="23" t="inlineStr">
        <is>
          <t>CAR-C</t>
        </is>
      </c>
      <c r="B698" s="23" t="n">
        <v>497.6</v>
      </c>
    </row>
    <row r="699">
      <c r="A699" s="23" t="inlineStr">
        <is>
          <t>CAR-A</t>
        </is>
      </c>
      <c r="B699" s="23" t="n">
        <v>228.5</v>
      </c>
    </row>
    <row r="700">
      <c r="A700" s="23" t="inlineStr">
        <is>
          <t>CAR-B</t>
        </is>
      </c>
      <c r="B700" s="23" t="n">
        <v>377.5</v>
      </c>
    </row>
    <row r="701">
      <c r="A701" s="23" t="inlineStr">
        <is>
          <t>MPV-D</t>
        </is>
      </c>
      <c r="B701" s="23" t="n">
        <v>626.6</v>
      </c>
    </row>
    <row r="702">
      <c r="A702" s="23" t="inlineStr">
        <is>
          <t>SUV-B</t>
        </is>
      </c>
      <c r="B702" s="23" t="n">
        <v>448.4</v>
      </c>
    </row>
    <row r="703">
      <c r="A703" s="23" t="inlineStr">
        <is>
          <t>LUXSUV-3</t>
        </is>
      </c>
      <c r="B703" s="23" t="n">
        <v>603.2</v>
      </c>
    </row>
    <row r="723">
      <c r="A723" s="8" t="inlineStr">
        <is>
          <t>细分市场</t>
        </is>
      </c>
      <c r="B723" s="8" t="inlineStr">
        <is>
          <t>平均容量(kWh)</t>
        </is>
      </c>
    </row>
    <row r="724">
      <c r="A724" s="23" t="inlineStr">
        <is>
          <t>SUV-C</t>
        </is>
      </c>
      <c r="B724" s="23" t="n">
        <v>67.08</v>
      </c>
    </row>
    <row r="725">
      <c r="A725" s="23" t="inlineStr">
        <is>
          <t>SUV-D</t>
        </is>
      </c>
      <c r="B725" s="23" t="n">
        <v>86.86</v>
      </c>
    </row>
    <row r="726">
      <c r="A726" s="23" t="inlineStr">
        <is>
          <t>未知</t>
        </is>
      </c>
      <c r="B726" s="23" t="n">
        <v>54.74</v>
      </c>
    </row>
    <row r="727">
      <c r="A727" s="23" t="inlineStr">
        <is>
          <t>CAR-D</t>
        </is>
      </c>
      <c r="B727" s="23" t="n">
        <v>79.79000000000001</v>
      </c>
    </row>
    <row r="728">
      <c r="A728" s="23" t="inlineStr">
        <is>
          <t>CAR-C</t>
        </is>
      </c>
      <c r="B728" s="23" t="n">
        <v>56.85</v>
      </c>
    </row>
    <row r="729">
      <c r="A729" s="23" t="inlineStr">
        <is>
          <t>CAR-A</t>
        </is>
      </c>
      <c r="B729" s="23" t="n">
        <v>20.58</v>
      </c>
    </row>
    <row r="730">
      <c r="A730" s="23" t="inlineStr">
        <is>
          <t>CAR-B</t>
        </is>
      </c>
      <c r="B730" s="23" t="n">
        <v>39.68</v>
      </c>
    </row>
    <row r="731">
      <c r="A731" s="23" t="inlineStr">
        <is>
          <t>MPV-D</t>
        </is>
      </c>
      <c r="B731" s="23" t="n">
        <v>97.12</v>
      </c>
    </row>
    <row r="732">
      <c r="A732" s="23" t="inlineStr">
        <is>
          <t>SUV-B</t>
        </is>
      </c>
      <c r="B732" s="23" t="n">
        <v>52.08</v>
      </c>
    </row>
    <row r="733">
      <c r="A733" s="23" t="inlineStr">
        <is>
          <t>LUXSUV-3</t>
        </is>
      </c>
      <c r="B733" s="23" t="n">
        <v>85.54000000000001</v>
      </c>
    </row>
    <row r="753">
      <c r="A753" s="24" t="inlineStr">
        <is>
          <t>共生成 25 个原生Excel图表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7" t="inlineStr">
        <is>
          <t>年度车型分布 - 元数据表（绝对值 + 百分比）</t>
        </is>
      </c>
    </row>
    <row r="3">
      <c r="A3" s="28" t="inlineStr">
        <is>
          <t>年份</t>
        </is>
      </c>
      <c r="B3" s="28" t="inlineStr">
        <is>
          <t>BEV数量</t>
        </is>
      </c>
      <c r="C3" s="28" t="inlineStr">
        <is>
          <t>BEV占比(%)</t>
        </is>
      </c>
      <c r="D3" s="28" t="inlineStr">
        <is>
          <t>PHEV数量</t>
        </is>
      </c>
      <c r="E3" s="28" t="inlineStr">
        <is>
          <t>PHEV占比(%)</t>
        </is>
      </c>
      <c r="F3" s="28" t="inlineStr">
        <is>
          <t>总计</t>
        </is>
      </c>
      <c r="G3" s="28" t="inlineStr">
        <is>
          <t>BEV占比</t>
        </is>
      </c>
      <c r="H3" s="28" t="inlineStr">
        <is>
          <t>PHEV占比</t>
        </is>
      </c>
    </row>
    <row r="4">
      <c r="A4" s="29" t="n">
        <v>2021</v>
      </c>
      <c r="B4" s="29" t="n">
        <v>498</v>
      </c>
      <c r="C4" s="30" t="n">
        <v>85.59999999999999</v>
      </c>
      <c r="D4" s="29" t="n">
        <v>84</v>
      </c>
      <c r="E4" s="30" t="n">
        <v>14.4</v>
      </c>
      <c r="F4" s="29" t="n">
        <v>582</v>
      </c>
      <c r="G4" s="31" t="n">
        <v>0.856</v>
      </c>
      <c r="H4" s="31" t="n">
        <v>0.144</v>
      </c>
    </row>
    <row r="5">
      <c r="A5" s="32" t="n">
        <v>2022</v>
      </c>
      <c r="B5" s="32" t="n">
        <v>441</v>
      </c>
      <c r="C5" s="33" t="n">
        <v>79.2</v>
      </c>
      <c r="D5" s="32" t="n">
        <v>116</v>
      </c>
      <c r="E5" s="33" t="n">
        <v>20.8</v>
      </c>
      <c r="F5" s="32" t="n">
        <v>557</v>
      </c>
      <c r="G5" s="34" t="n">
        <v>0.792</v>
      </c>
      <c r="H5" s="34" t="n">
        <v>0.208</v>
      </c>
    </row>
    <row r="6">
      <c r="A6" s="29" t="n">
        <v>2023</v>
      </c>
      <c r="B6" s="29" t="n">
        <v>663</v>
      </c>
      <c r="C6" s="30" t="n">
        <v>72.8</v>
      </c>
      <c r="D6" s="29" t="n">
        <v>248</v>
      </c>
      <c r="E6" s="30" t="n">
        <v>27.2</v>
      </c>
      <c r="F6" s="29" t="n">
        <v>911</v>
      </c>
      <c r="G6" s="31" t="n">
        <v>0.728</v>
      </c>
      <c r="H6" s="31" t="n">
        <v>0.272</v>
      </c>
    </row>
    <row r="7">
      <c r="A7" s="32" t="n">
        <v>2024</v>
      </c>
      <c r="B7" s="32" t="n">
        <v>771</v>
      </c>
      <c r="C7" s="33" t="n">
        <v>66.2</v>
      </c>
      <c r="D7" s="32" t="n">
        <v>394</v>
      </c>
      <c r="E7" s="33" t="n">
        <v>33.8</v>
      </c>
      <c r="F7" s="32" t="n">
        <v>1165</v>
      </c>
      <c r="G7" s="34" t="n">
        <v>0.662</v>
      </c>
      <c r="H7" s="34" t="n">
        <v>0.338</v>
      </c>
    </row>
    <row r="8">
      <c r="A8" s="29" t="n">
        <v>2025</v>
      </c>
      <c r="B8" s="29" t="n">
        <v>567</v>
      </c>
      <c r="C8" s="30" t="n">
        <v>50</v>
      </c>
      <c r="D8" s="29" t="n">
        <v>566</v>
      </c>
      <c r="E8" s="30" t="n">
        <v>50</v>
      </c>
      <c r="F8" s="29" t="n">
        <v>1133</v>
      </c>
      <c r="G8" s="31" t="n">
        <v>0.5</v>
      </c>
      <c r="H8" s="31" t="n">
        <v>0.5</v>
      </c>
    </row>
  </sheetData>
  <mergeCells count="1">
    <mergeCell ref="A1:H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BEV电池类型趋势 - 元数据表（绝对值 + 百分比）</t>
        </is>
      </c>
    </row>
    <row r="3">
      <c r="A3" s="28" t="inlineStr">
        <is>
          <t>年份</t>
        </is>
      </c>
      <c r="B3" s="28" t="inlineStr">
        <is>
          <t>三元锂(数量)</t>
        </is>
      </c>
      <c r="C3" s="28" t="inlineStr">
        <is>
          <t>三元锂(%)</t>
        </is>
      </c>
      <c r="D3" s="28" t="inlineStr">
        <is>
          <t>磷酸铁锂(数量)</t>
        </is>
      </c>
      <c r="E3" s="28" t="inlineStr">
        <is>
          <t>磷酸铁锂(%)</t>
        </is>
      </c>
      <c r="F3" s="28" t="inlineStr">
        <is>
          <t>其他(数量)</t>
        </is>
      </c>
      <c r="G3" s="28" t="inlineStr">
        <is>
          <t>其他(%)</t>
        </is>
      </c>
    </row>
    <row r="4">
      <c r="A4" s="29" t="n">
        <v>2021</v>
      </c>
      <c r="B4" s="29" t="n">
        <v>250</v>
      </c>
      <c r="C4" s="30" t="n">
        <v>50.2</v>
      </c>
      <c r="D4" s="29" t="n">
        <v>222</v>
      </c>
      <c r="E4" s="30" t="n">
        <v>44.6</v>
      </c>
      <c r="F4" s="29" t="n">
        <v>26</v>
      </c>
      <c r="G4" s="30" t="n">
        <v>5.2</v>
      </c>
    </row>
    <row r="5">
      <c r="A5" s="32" t="n">
        <v>2022</v>
      </c>
      <c r="B5" s="32" t="n">
        <v>180</v>
      </c>
      <c r="C5" s="33" t="n">
        <v>40.8</v>
      </c>
      <c r="D5" s="32" t="n">
        <v>190</v>
      </c>
      <c r="E5" s="33" t="n">
        <v>43.1</v>
      </c>
      <c r="F5" s="32" t="n">
        <v>71</v>
      </c>
      <c r="G5" s="33" t="n">
        <v>16.1</v>
      </c>
    </row>
    <row r="6">
      <c r="A6" s="29" t="n">
        <v>2023</v>
      </c>
      <c r="B6" s="29" t="n">
        <v>268</v>
      </c>
      <c r="C6" s="30" t="n">
        <v>40.4</v>
      </c>
      <c r="D6" s="29" t="n">
        <v>267</v>
      </c>
      <c r="E6" s="30" t="n">
        <v>40.3</v>
      </c>
      <c r="F6" s="29" t="n">
        <v>128</v>
      </c>
      <c r="G6" s="30" t="n">
        <v>19.3</v>
      </c>
    </row>
    <row r="7">
      <c r="A7" s="32" t="n">
        <v>2024</v>
      </c>
      <c r="B7" s="32" t="n">
        <v>203</v>
      </c>
      <c r="C7" s="33" t="n">
        <v>26.3</v>
      </c>
      <c r="D7" s="32" t="n">
        <v>498</v>
      </c>
      <c r="E7" s="33" t="n">
        <v>64.59999999999999</v>
      </c>
      <c r="F7" s="32" t="n">
        <v>70</v>
      </c>
      <c r="G7" s="33" t="n">
        <v>9.1</v>
      </c>
    </row>
    <row r="8">
      <c r="A8" s="29" t="n">
        <v>2025</v>
      </c>
      <c r="B8" s="29" t="n">
        <v>99</v>
      </c>
      <c r="C8" s="30" t="n">
        <v>17.5</v>
      </c>
      <c r="D8" s="29" t="n">
        <v>372</v>
      </c>
      <c r="E8" s="30" t="n">
        <v>65.59999999999999</v>
      </c>
      <c r="F8" s="29" t="n">
        <v>96</v>
      </c>
      <c r="G8" s="30" t="n">
        <v>16.9</v>
      </c>
    </row>
  </sheetData>
  <mergeCells count="1">
    <mergeCell ref="A1:H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7" t="inlineStr">
        <is>
          <t>供应商集中度 - 元数据表（CR值 + 供应商数）</t>
        </is>
      </c>
    </row>
    <row r="3">
      <c r="A3" s="28" t="inlineStr">
        <is>
          <t>年份</t>
        </is>
      </c>
      <c r="B3" s="28" t="inlineStr">
        <is>
          <t>电池CR3(数量)</t>
        </is>
      </c>
      <c r="C3" s="28" t="inlineStr">
        <is>
          <t>电池CR3(%)</t>
        </is>
      </c>
      <c r="D3" s="28" t="inlineStr">
        <is>
          <t>电池CR5(数量)</t>
        </is>
      </c>
      <c r="E3" s="28" t="inlineStr">
        <is>
          <t>电池CR5(%)</t>
        </is>
      </c>
      <c r="F3" s="28" t="inlineStr">
        <is>
          <t>电池供应商数</t>
        </is>
      </c>
      <c r="G3" s="28" t="inlineStr">
        <is>
          <t>电池HHI</t>
        </is>
      </c>
    </row>
    <row r="4">
      <c r="A4" s="29" t="n">
        <v>2021</v>
      </c>
      <c r="B4" s="29" t="n">
        <v>35.4</v>
      </c>
      <c r="C4" s="31" t="n">
        <v>0.354</v>
      </c>
      <c r="D4" s="29" t="n">
        <v>45.7</v>
      </c>
      <c r="E4" s="31" t="n">
        <v>0.457</v>
      </c>
      <c r="F4" s="29" t="n">
        <v>114</v>
      </c>
      <c r="G4" s="35" t="n">
        <v>610.8</v>
      </c>
    </row>
    <row r="5">
      <c r="A5" s="32" t="n">
        <v>2022</v>
      </c>
      <c r="B5" s="32" t="n">
        <v>42</v>
      </c>
      <c r="C5" s="34" t="n">
        <v>0.42</v>
      </c>
      <c r="D5" s="32" t="n">
        <v>52.8</v>
      </c>
      <c r="E5" s="34" t="n">
        <v>0.528</v>
      </c>
      <c r="F5" s="32" t="n">
        <v>92</v>
      </c>
      <c r="G5" s="36" t="n">
        <v>858.8</v>
      </c>
    </row>
    <row r="6">
      <c r="A6" s="29" t="n">
        <v>2023</v>
      </c>
      <c r="B6" s="29" t="n">
        <v>37.7</v>
      </c>
      <c r="C6" s="31" t="n">
        <v>0.377</v>
      </c>
      <c r="D6" s="29" t="n">
        <v>52.7</v>
      </c>
      <c r="E6" s="31" t="n">
        <v>0.527</v>
      </c>
      <c r="F6" s="29" t="n">
        <v>85</v>
      </c>
      <c r="G6" s="35" t="n">
        <v>795.3</v>
      </c>
    </row>
    <row r="7">
      <c r="A7" s="32" t="n">
        <v>2024</v>
      </c>
      <c r="B7" s="32" t="n">
        <v>37.7</v>
      </c>
      <c r="C7" s="34" t="n">
        <v>0.377</v>
      </c>
      <c r="D7" s="32" t="n">
        <v>50</v>
      </c>
      <c r="E7" s="34" t="n">
        <v>0.5</v>
      </c>
      <c r="F7" s="32" t="n">
        <v>115</v>
      </c>
      <c r="G7" s="36" t="n">
        <v>638.4</v>
      </c>
    </row>
    <row r="8">
      <c r="A8" s="29" t="n">
        <v>2025</v>
      </c>
      <c r="B8" s="29" t="n">
        <v>45.9</v>
      </c>
      <c r="C8" s="31" t="n">
        <v>0.459</v>
      </c>
      <c r="D8" s="29" t="n">
        <v>55.5</v>
      </c>
      <c r="E8" s="31" t="n">
        <v>0.555</v>
      </c>
      <c r="F8" s="29" t="n">
        <v>31</v>
      </c>
      <c r="G8" s="35" t="n">
        <v>1233.8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2026-08-08T03:56:34Z</dcterms:created>
  <dcterms:modified xmlns:dcterms="http://purl.org/dc/terms/" xmlns:xsi="http://www.w3.org/2001/XMLSchema-instance" xsi:type="dcterms:W3CDTF">2026-08-09T07:34:23Z</dcterms:modified>
</cp:coreProperties>
</file>