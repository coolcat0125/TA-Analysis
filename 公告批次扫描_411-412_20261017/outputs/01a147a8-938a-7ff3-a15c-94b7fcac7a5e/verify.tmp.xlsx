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0345df67d74b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11正式车型" sheetId="1" r:id="Rc3d726b835e94ff2"/>
    <x:sheet xmlns:r="http://schemas.openxmlformats.org/officeDocument/2006/relationships" name="412公示车型" sheetId="2" r:id="Ra91ee6f15b144fb3"/>
    <x:sheet xmlns:r="http://schemas.openxmlformats.org/officeDocument/2006/relationships" name="扫描总览" sheetId="3" r:id="Rbb7d2d852c49408c"/>
    <x:sheet xmlns:r="http://schemas.openxmlformats.org/officeDocument/2006/relationships" name="驱动系统对比" sheetId="4" r:id="R2273fe5e63094789"/>
    <x:sheet xmlns:r="http://schemas.openxmlformats.org/officeDocument/2006/relationships" name="证据与口径" sheetId="5" r:id="R1acc8319c78d4b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#,##0"/>
    <x:numFmt numFmtId="202" formatCode="0.0"/>
    <x:numFmt numFmtId="203" formatCode="#,##0.0"/>
    <x:numFmt numFmtId="204" formatCode="0.0%"/>
  </x:numFmts>
  <x:fonts count="8">
    <x:font>
      <x:sz val="11"/>
      <x:name val="Carlito"/>
    </x:font>
    <x:font>
      <x:b/>
      <x:sz val="16"/>
      <x:color rgb="FF111827"/>
      <x:name val="Microsoft YaHei"/>
    </x:font>
    <x:font>
      <x:i/>
      <x:sz val="10"/>
      <x:color rgb="FF6B7280"/>
      <x:name val="Microsoft YaHei"/>
    </x:font>
    <x:font>
      <x:b/>
      <x:i/>
      <x:sz val="10"/>
      <x:color rgb="FFFFFFFF"/>
      <x:name val="Microsoft YaHei"/>
    </x:font>
    <x:font>
      <x:b/>
      <x:sz val="10"/>
      <x:color rgb="FFFFFFFF"/>
      <x:name val="Microsoft YaHei"/>
    </x:font>
    <x:font>
      <x:sz val="10"/>
      <x:color rgb="FF1F2937"/>
      <x:name val="Microsoft YaHei"/>
    </x:font>
    <x:font>
      <x:i/>
      <x:sz val="10"/>
      <x:color rgb="FF64748B"/>
      <x:name val="Microsoft YaHei"/>
    </x:font>
    <x:font>
      <x:b/>
      <x:sz val="12"/>
      <x:color rgb="FF111827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vertical="center" wrapText="1"/>
    </x:xf>
    <x:xf numFmtId="201" fontId="5" fillId="0" borderId="1" xfId="0" applyNumberFormat="1" applyFont="1" applyFill="1" applyBorder="1" applyAlignment="1">
      <x:alignment vertical="center" wrapText="1"/>
    </x:xf>
    <x:xf numFmtId="202" fontId="5" fillId="0" borderId="1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201" fontId="5" fillId="0" borderId="1" xfId="0" applyNumberFormat="1" applyFont="1" applyFill="1" applyBorder="1" applyAlignment="1">
      <x:alignment horizontal="center" vertical="center" wrapText="1"/>
    </x:xf>
    <x:xf numFmtId="202" fontId="5" fillId="0" borderId="1" xfId="0" applyNumberFormat="1" applyFont="1" applyFill="1" applyBorder="1" applyAlignment="1">
      <x:alignment horizontal="center" vertical="center" wrapText="1"/>
    </x:xf>
    <x:xf numFmtId="203" fontId="5" fillId="0" borderId="1" xfId="0" applyNumberFormat="1" applyFont="1" applyFill="1" applyBorder="1" applyAlignment="1">
      <x:alignment vertical="center" wrapText="1"/>
    </x:xf>
    <x:xf numFmtId="203" fontId="5" fillId="0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204" fontId="5" fillId="0" borderId="1" xfId="0" applyNumberFormat="1" applyFont="1" applyFill="1" applyBorder="1" applyAlignment="1">
      <x:alignment vertical="center" wrapText="1"/>
    </x:xf>
    <x:xf numFmtId="204" fontId="5" fillId="0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1F2937"/>
      </x:font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ont>
        <x:b/>
        <x:color rgb="FF1F2937"/>
      </x:font>
      <x:fill>
        <x:patternFill>
          <x:bgColor rgb="FFE2F0D9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6a870202324603" /><Relationship Type="http://schemas.openxmlformats.org/officeDocument/2006/relationships/theme" Target="/xl/theme/theme1.xml" Id="Rf7143cbaaea54743" /><Relationship Type="http://schemas.openxmlformats.org/officeDocument/2006/relationships/sharedStrings" Target="/xl/sharedStrings.xml" Id="Rdc165c7ba2044f7a" /><Relationship Type="http://schemas.openxmlformats.org/officeDocument/2006/relationships/worksheet" Target="/xl/worksheets/sheet1.xml" Id="Rc3d726b835e94ff2" /><Relationship Type="http://schemas.openxmlformats.org/officeDocument/2006/relationships/worksheet" Target="/xl/worksheets/sheet2.xml" Id="Ra91ee6f15b144fb3" /><Relationship Type="http://schemas.openxmlformats.org/officeDocument/2006/relationships/worksheet" Target="/xl/worksheets/sheet3.xml" Id="Rbb7d2d852c49408c" /><Relationship Type="http://schemas.openxmlformats.org/officeDocument/2006/relationships/worksheet" Target="/xl/worksheets/sheet4.xml" Id="R2273fe5e63094789" /><Relationship Type="http://schemas.openxmlformats.org/officeDocument/2006/relationships/worksheet" Target="/xl/worksheets/sheet5.xml" Id="R1acc8319c78d4b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9" ySplit="3" topLeftCell="J4" activePane="bottomRight" state="frozen"/>
    </x:sheetView>
  </x:sheetViews>
  <x:sheetFormatPr defaultRowHeight="15"/>
  <x:cols>
    <x:col min="1" max="1" width="7" hidden="0" customWidth="1"/>
    <x:col min="2" max="2" width="10" hidden="0" customWidth="1"/>
    <x:col min="3" max="3" width="16" hidden="0" customWidth="1"/>
    <x:col min="4" max="4" width="9" hidden="0" customWidth="1"/>
    <x:col min="5" max="5" width="26" hidden="0" customWidth="1"/>
    <x:col min="6" max="6" width="18" hidden="0" customWidth="1"/>
    <x:col min="7" max="7" width="16" hidden="0" customWidth="1"/>
    <x:col min="8" max="8" width="20" hidden="0" customWidth="1"/>
    <x:col min="9" max="9" width="24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2" hidden="0" customWidth="1"/>
    <x:col min="15" max="15" width="11" hidden="0" customWidth="1"/>
    <x:col min="16" max="16" width="11" hidden="0" customWidth="1"/>
    <x:col min="17" max="17" width="12" hidden="0" customWidth="1"/>
    <x:col min="18" max="18" width="12" hidden="0" customWidth="1"/>
    <x:col min="19" max="19" width="12" hidden="0" customWidth="1"/>
    <x:col min="20" max="20" width="20" hidden="0" customWidth="1"/>
    <x:col min="21" max="21" width="30" hidden="0" customWidth="1"/>
    <x:col min="22" max="22" width="30" hidden="0" customWidth="1"/>
    <x:col min="23" max="23" width="20" hidden="0" customWidth="1"/>
    <x:col min="24" max="24" width="14" hidden="0" customWidth="1"/>
    <x:col min="25" max="25" width="11" hidden="0" customWidth="1"/>
    <x:col min="26" max="26" width="12" hidden="0" customWidth="1"/>
    <x:col min="27" max="27" width="12" hidden="0" customWidth="1"/>
    <x:col min="28" max="28" width="12" hidden="0" customWidth="1"/>
    <x:col min="29" max="29" width="18" hidden="0" customWidth="1"/>
    <x:col min="30" max="30" width="46" hidden="0" customWidth="1"/>
    <x:col min="31" max="31" width="24" hidden="0" customWidth="1"/>
  </x:cols>
  <x:sheetData>
    <x:row r="2">
      <x:c r="A2" s="1" t="str">
        <x:v>411正式车型逐车型扫描</x:v>
      </x:c>
    </x:row>
    <x:row r="3">
      <x:c r="A3" s="13" t="str">
        <x:v>批次</x:v>
      </x:c>
      <x:c r="B3" s="14" t="str">
        <x:v>状态</x:v>
      </x:c>
      <x:c r="C3" s="14" t="str">
        <x:v>技术路线</x:v>
      </x:c>
      <x:c r="D3" s="14" t="str">
        <x:v>是否增程</x:v>
      </x:c>
      <x:c r="E3" s="14" t="str">
        <x:v>企业名称</x:v>
      </x:c>
      <x:c r="F3" s="14" t="str">
        <x:v>产品商标</x:v>
      </x:c>
      <x:c r="G3" s="14" t="str">
        <x:v>通用名称</x:v>
      </x:c>
      <x:c r="H3" s="14" t="str">
        <x:v>产品型号</x:v>
      </x:c>
      <x:c r="I3" s="14" t="str">
        <x:v>产品名称</x:v>
      </x:c>
      <x:c r="J3" s="14" t="str">
        <x:v>车长(mm)</x:v>
      </x:c>
      <x:c r="K3" s="14" t="str">
        <x:v>车宽(mm)</x:v>
      </x:c>
      <x:c r="L3" s="14" t="str">
        <x:v>车高(mm)</x:v>
      </x:c>
      <x:c r="M3" s="14" t="str">
        <x:v>轴距(mm)</x:v>
      </x:c>
      <x:c r="N3" s="14" t="str">
        <x:v>整备质量(kg)</x:v>
      </x:c>
      <x:c r="O3" s="14" t="str">
        <x:v>总质量(kg)</x:v>
      </x:c>
      <x:c r="P3" s="14" t="str">
        <x:v>最高车速(km/h)</x:v>
      </x:c>
      <x:c r="Q3" s="14" t="str">
        <x:v>额定载客(人)</x:v>
      </x:c>
      <x:c r="R3" s="14" t="str">
        <x:v>纯电续航(km)</x:v>
      </x:c>
      <x:c r="S3" s="14" t="str">
        <x:v>电池容量(kWh)</x:v>
      </x:c>
      <x:c r="T3" s="14" t="str">
        <x:v>电池类型</x:v>
      </x:c>
      <x:c r="U3" s="14" t="str">
        <x:v>电芯供应商</x:v>
      </x:c>
      <x:c r="V3" s="14" t="str">
        <x:v>电池包供应商</x:v>
      </x:c>
      <x:c r="W3" s="14" t="str">
        <x:v>电机峰值功率数列(kW)</x:v>
      </x:c>
      <x:c r="X3" s="14" t="str">
        <x:v>电机总功率(kW)</x:v>
      </x:c>
      <x:c r="Y3" s="14" t="str">
        <x:v>驱动形式</x:v>
      </x:c>
      <x:c r="Z3" s="14" t="str">
        <x:v>发动机排量(mL)</x:v>
      </x:c>
      <x:c r="AA3" s="14" t="str">
        <x:v>发动机功率(kW)</x:v>
      </x:c>
      <x:c r="AB3" s="14" t="str">
        <x:v>综合油耗(L/100km)</x:v>
      </x:c>
      <x:c r="AC3" s="14" t="str">
        <x:v>型号级新增</x:v>
      </x:c>
      <x:c r="AD3" s="14" t="str">
        <x:v>来源URL</x:v>
      </x:c>
      <x:c r="AE3" s="14" t="str">
        <x:v>缺失关键字段</x:v>
      </x:c>
    </x:row>
    <x:row r="4">
      <x:c r="A4" s="22" t="n">
        <x:v>411</x:v>
      </x:c>
      <x:c r="B4" s="23" t="str">
        <x:v>正式公告</x:v>
      </x:c>
      <x:c r="C4" s="23" t="str">
        <x:v>纯电(BEV)</x:v>
      </x:c>
      <x:c r="D4" s="23" t="str">
        <x:v>否</x:v>
      </x:c>
      <x:c r="E4" s="18" t="str">
        <x:v>奇瑞汽车股份有限公司</x:v>
      </x:c>
      <x:c r="F4" s="18" t="str">
        <x:v>捷途牌</x:v>
      </x:c>
      <x:c r="G4" s="18" t="str">
        <x:v>捷途环游者,环游者</x:v>
      </x:c>
      <x:c r="H4" s="18" t="str">
        <x:v>SQR6450BEVT1VA3</x:v>
      </x:c>
      <x:c r="I4" s="18" t="str">
        <x:v>纯电动多用途乘用车</x:v>
      </x:c>
      <x:c r="J4" s="20" t="n">
        <x:v>4475</x:v>
      </x:c>
      <x:c r="K4" s="20" t="n">
        <x:v>1880</x:v>
      </x:c>
      <x:c r="L4" s="20" t="n">
        <x:v>1700</x:v>
      </x:c>
      <x:c r="M4" s="20" t="n">
        <x:v>2735</x:v>
      </x:c>
      <x:c r="N4" s="20" t="n">
        <x:v>1875</x:v>
      </x:c>
      <x:c r="O4" s="20" t="n">
        <x:v>2285</x:v>
      </x:c>
      <x:c r="P4" s="24" t="n">
        <x:v>180</x:v>
      </x:c>
      <x:c r="Q4" s="18" t="str">
        <x:v>5</x:v>
      </x:c>
      <x:c r="R4" s="24" t="n">
        <x:v>510</x:v>
      </x:c>
      <x:c r="S4" s="25" t="n">
        <x:v>65.05</x:v>
      </x:c>
      <x:c r="T4" s="18"/>
      <x:c r="U4" s="18"/>
      <x:c r="V4" s="18"/>
      <x:c r="W4" s="18" t="str">
        <x:v>75/200</x:v>
      </x:c>
      <x:c r="X4" s="25" t="n">
        <x:v>275</x:v>
      </x:c>
      <x:c r="Y4" s="23" t="str">
        <x:v>双电机</x:v>
      </x:c>
      <x:c r="Z4" s="20"/>
      <x:c r="AA4" s="21" t="n">
        <x:v>75</x:v>
      </x:c>
      <x:c r="AB4" s="21"/>
      <x:c r="AC4" s="23" t="str">
        <x:v>型号级新增</x:v>
      </x:c>
      <x:c r="AD4" s="18" t="str">
        <x:v>https://www.miit.gov.cn/datainfo/dljdclscqyjcpgg/xcpgs411sdwdw3/art/2026/art_23af8a5952844932999d9c960f23338e.html</x:v>
      </x:c>
      <x:c r="AE4" s="18" t="str">
        <x:v>电池类型</x:v>
      </x:c>
    </x:row>
    <x:row r="5">
      <x:c r="A5" s="22" t="n">
        <x:v>411</x:v>
      </x:c>
      <x:c r="B5" s="23" t="str">
        <x:v>正式公告</x:v>
      </x:c>
      <x:c r="C5" s="23" t="str">
        <x:v>纯电(BEV)</x:v>
      </x:c>
      <x:c r="D5" s="23" t="str">
        <x:v>否</x:v>
      </x:c>
      <x:c r="E5" s="18" t="str">
        <x:v>奇瑞汽车股份有限公司</x:v>
      </x:c>
      <x:c r="F5" s="18" t="str">
        <x:v>捷途牌</x:v>
      </x:c>
      <x:c r="G5" s="18" t="str">
        <x:v>捷途环游者,环游者</x:v>
      </x:c>
      <x:c r="H5" s="18" t="str">
        <x:v>SQR6450BEVT1VA2</x:v>
      </x:c>
      <x:c r="I5" s="18" t="str">
        <x:v>纯电动多用途乘用车</x:v>
      </x:c>
      <x:c r="J5" s="20" t="n">
        <x:v>4475</x:v>
      </x:c>
      <x:c r="K5" s="20" t="n">
        <x:v>1880</x:v>
      </x:c>
      <x:c r="L5" s="20" t="n">
        <x:v>1700</x:v>
      </x:c>
      <x:c r="M5" s="20" t="n">
        <x:v>2735</x:v>
      </x:c>
      <x:c r="N5" s="20" t="n">
        <x:v>1777</x:v>
      </x:c>
      <x:c r="O5" s="20" t="n">
        <x:v>2187</x:v>
      </x:c>
      <x:c r="P5" s="24" t="n">
        <x:v>180</x:v>
      </x:c>
      <x:c r="Q5" s="18" t="str">
        <x:v>5</x:v>
      </x:c>
      <x:c r="R5" s="24" t="n">
        <x:v>550</x:v>
      </x:c>
      <x:c r="S5" s="25" t="n">
        <x:v>65.05</x:v>
      </x:c>
      <x:c r="T5" s="18"/>
      <x:c r="U5" s="18"/>
      <x:c r="V5" s="18"/>
      <x:c r="W5" s="18" t="str">
        <x:v>200</x:v>
      </x:c>
      <x:c r="X5" s="25" t="n">
        <x:v>200</x:v>
      </x:c>
      <x:c r="Y5" s="23" t="str">
        <x:v>单电机</x:v>
      </x:c>
      <x:c r="Z5" s="20"/>
      <x:c r="AA5" s="21"/>
      <x:c r="AB5" s="21"/>
      <x:c r="AC5" s="23" t="str">
        <x:v>型号级新增</x:v>
      </x:c>
      <x:c r="AD5" s="18" t="str">
        <x:v>https://www.miit.gov.cn/datainfo/dljdclscqyjcpgg/xcpgs411sdwdw3/art/2026/art_76532d3fa5d1450bae40ead12063d99d.html</x:v>
      </x:c>
      <x:c r="AE5" s="18" t="str">
        <x:v>电池类型、发动机功率</x:v>
      </x:c>
    </x:row>
    <x:row r="6">
      <x:c r="A6" s="22" t="n">
        <x:v>411</x:v>
      </x:c>
      <x:c r="B6" s="23" t="str">
        <x:v>正式公告</x:v>
      </x:c>
      <x:c r="C6" s="23" t="str">
        <x:v>纯电(BEV)</x:v>
      </x:c>
      <x:c r="D6" s="23" t="str">
        <x:v>否</x:v>
      </x:c>
      <x:c r="E6" s="18" t="str">
        <x:v>长城汽车股份有限公司</x:v>
      </x:c>
      <x:c r="F6" s="18" t="str">
        <x:v>欧拉牌</x:v>
      </x:c>
      <x:c r="G6" s="18" t="str">
        <x:v>ORA 5</x:v>
      </x:c>
      <x:c r="H6" s="18" t="str">
        <x:v>CC7002DE00HBBEV</x:v>
      </x:c>
      <x:c r="I6" s="18" t="str">
        <x:v>纯电动轿车</x:v>
      </x:c>
      <x:c r="J6" s="20" t="n">
        <x:v>4758</x:v>
      </x:c>
      <x:c r="K6" s="20" t="n">
        <x:v>1833</x:v>
      </x:c>
      <x:c r="L6" s="20" t="n">
        <x:v>1626</x:v>
      </x:c>
      <x:c r="M6" s="20" t="n">
        <x:v>2720</x:v>
      </x:c>
      <x:c r="N6" s="20" t="n">
        <x:v>1670</x:v>
      </x:c>
      <x:c r="O6" s="20" t="n">
        <x:v>2110</x:v>
      </x:c>
      <x:c r="P6" s="24" t="n">
        <x:v>170</x:v>
      </x:c>
      <x:c r="Q6" s="18" t="str">
        <x:v>5</x:v>
      </x:c>
      <x:c r="R6" s="24" t="n">
        <x:v>601</x:v>
      </x:c>
      <x:c r="S6" s="25" t="n">
        <x:v>58.3</x:v>
      </x:c>
      <x:c r="T6" s="18" t="str">
        <x:v>磷酸铁锂蓄电池</x:v>
      </x:c>
      <x:c r="U6" s="18"/>
      <x:c r="V6" s="18"/>
      <x:c r="W6" s="18" t="str">
        <x:v>150</x:v>
      </x:c>
      <x:c r="X6" s="25" t="n">
        <x:v>150</x:v>
      </x:c>
      <x:c r="Y6" s="23" t="str">
        <x:v>单电机</x:v>
      </x:c>
      <x:c r="Z6" s="20"/>
      <x:c r="AA6" s="21"/>
      <x:c r="AB6" s="21"/>
      <x:c r="AC6" s="23" t="str">
        <x:v>型号级新增</x:v>
      </x:c>
      <x:c r="AD6" s="18" t="str">
        <x:v>https://www.miit.gov.cn/datainfo/dljdclscqyjcpgg/xcpgs411sdwdw3/art/2026/art_cf054a77f4b644f9b5e57df937846682.html</x:v>
      </x:c>
      <x:c r="AE6" s="18" t="str">
        <x:v>发动机功率</x:v>
      </x:c>
    </x:row>
    <x:row r="7">
      <x:c r="A7" s="22" t="n">
        <x:v>411</x:v>
      </x:c>
      <x:c r="B7" s="23" t="str">
        <x:v>正式公告</x:v>
      </x:c>
      <x:c r="C7" s="23" t="str">
        <x:v>纯电(BEV)</x:v>
      </x:c>
      <x:c r="D7" s="23" t="str">
        <x:v>否</x:v>
      </x:c>
      <x:c r="E7" s="18" t="str">
        <x:v>长城汽车股份有限公司</x:v>
      </x:c>
      <x:c r="F7" s="18" t="str">
        <x:v>欧拉牌</x:v>
      </x:c>
      <x:c r="G7" s="18" t="str">
        <x:v>ORA 5</x:v>
      </x:c>
      <x:c r="H7" s="18" t="str">
        <x:v>CC7002DE00HABEV</x:v>
      </x:c>
      <x:c r="I7" s="18" t="str">
        <x:v>纯电动轿车</x:v>
      </x:c>
      <x:c r="J7" s="20" t="n">
        <x:v>4758</x:v>
      </x:c>
      <x:c r="K7" s="20" t="n">
        <x:v>1833</x:v>
      </x:c>
      <x:c r="L7" s="20" t="n">
        <x:v>1626</x:v>
      </x:c>
      <x:c r="M7" s="20" t="n">
        <x:v>2720</x:v>
      </x:c>
      <x:c r="N7" s="20" t="n">
        <x:v>1585</x:v>
      </x:c>
      <x:c r="O7" s="20" t="n">
        <x:v>1985</x:v>
      </x:c>
      <x:c r="P7" s="24" t="n">
        <x:v>170</x:v>
      </x:c>
      <x:c r="Q7" s="18" t="str">
        <x:v>5</x:v>
      </x:c>
      <x:c r="R7" s="24" t="n">
        <x:v>480</x:v>
      </x:c>
      <x:c r="S7" s="25" t="n">
        <x:v>45.3</x:v>
      </x:c>
      <x:c r="T7" s="18" t="str">
        <x:v>磷酸铁锂蓄电池</x:v>
      </x:c>
      <x:c r="U7" s="18"/>
      <x:c r="V7" s="18"/>
      <x:c r="W7" s="18" t="str">
        <x:v>150</x:v>
      </x:c>
      <x:c r="X7" s="25" t="n">
        <x:v>150</x:v>
      </x:c>
      <x:c r="Y7" s="23" t="str">
        <x:v>单电机</x:v>
      </x:c>
      <x:c r="Z7" s="20"/>
      <x:c r="AA7" s="21"/>
      <x:c r="AB7" s="21"/>
      <x:c r="AC7" s="23" t="str">
        <x:v>型号级新增</x:v>
      </x:c>
      <x:c r="AD7" s="18" t="str">
        <x:v>https://www.miit.gov.cn/datainfo/dljdclscqyjcpgg/xcpgs411sdwdw3/art/2026/art_2932687d6cda4b669232b814e985e097.html</x:v>
      </x:c>
      <x:c r="AE7" s="18" t="str">
        <x:v>发动机功率</x:v>
      </x:c>
    </x:row>
    <x:row r="8">
      <x:c r="A8" s="22" t="n">
        <x:v>411</x:v>
      </x:c>
      <x:c r="B8" s="23" t="str">
        <x:v>正式公告</x:v>
      </x:c>
      <x:c r="C8" s="23" t="str">
        <x:v>纯电(BEV)</x:v>
      </x:c>
      <x:c r="D8" s="23" t="str">
        <x:v>否</x:v>
      </x:c>
      <x:c r="E8" s="18" t="str">
        <x:v>长城汽车股份有限公司</x:v>
      </x:c>
      <x:c r="F8" s="18" t="str">
        <x:v>欧拉牌</x:v>
      </x:c>
      <x:c r="G8" s="18" t="str">
        <x:v>欧拉好猫</x:v>
      </x:c>
      <x:c r="H8" s="18" t="str">
        <x:v>CC6420BJ00GEBEV</x:v>
      </x:c>
      <x:c r="I8" s="18" t="str">
        <x:v>纯电动多用途乘用车</x:v>
      </x:c>
      <x:c r="J8" s="20" t="n">
        <x:v>4242</x:v>
      </x:c>
      <x:c r="K8" s="20" t="n">
        <x:v>1825</x:v>
      </x:c>
      <x:c r="L8" s="20" t="n">
        <x:v>1640</x:v>
      </x:c>
      <x:c r="M8" s="20" t="n">
        <x:v>2650</x:v>
      </x:c>
      <x:c r="N8" s="20" t="n">
        <x:v>1410</x:v>
      </x:c>
      <x:c r="O8" s="20" t="n">
        <x:v>1825</x:v>
      </x:c>
      <x:c r="P8" s="24" t="n">
        <x:v>150</x:v>
      </x:c>
      <x:c r="Q8" s="18" t="str">
        <x:v>5</x:v>
      </x:c>
      <x:c r="R8" s="24" t="n">
        <x:v>335</x:v>
      </x:c>
      <x:c r="S8" s="25" t="n">
        <x:v>36.4</x:v>
      </x:c>
      <x:c r="T8" s="18" t="str">
        <x:v>磷酸铁锂蓄电池</x:v>
      </x:c>
      <x:c r="U8" s="18"/>
      <x:c r="V8" s="18"/>
      <x:c r="W8" s="18" t="str">
        <x:v>98</x:v>
      </x:c>
      <x:c r="X8" s="25" t="n">
        <x:v>98</x:v>
      </x:c>
      <x:c r="Y8" s="23" t="str">
        <x:v>单电机</x:v>
      </x:c>
      <x:c r="Z8" s="20"/>
      <x:c r="AA8" s="21"/>
      <x:c r="AB8" s="21"/>
      <x:c r="AC8" s="23" t="str">
        <x:v>型号级新增</x:v>
      </x:c>
      <x:c r="AD8" s="18" t="str">
        <x:v>https://www.miit.gov.cn/datainfo/dljdclscqyjcpgg/xcpgs411sdwdw3/art/2026/art_418c0744ca0a4b77895b2530469eb257.html</x:v>
      </x:c>
      <x:c r="AE8" s="18" t="str">
        <x:v>发动机功率</x:v>
      </x:c>
    </x:row>
    <x:row r="9">
      <x:c r="A9" s="22" t="n">
        <x:v>411</x:v>
      </x:c>
      <x:c r="B9" s="23" t="str">
        <x:v>正式公告</x:v>
      </x:c>
      <x:c r="C9" s="23" t="str">
        <x:v>纯电(BEV)</x:v>
      </x:c>
      <x:c r="D9" s="23" t="str">
        <x:v>否</x:v>
      </x:c>
      <x:c r="E9" s="18" t="str">
        <x:v>长城汽车股份有限公司</x:v>
      </x:c>
      <x:c r="F9" s="18" t="str">
        <x:v>魏牌牌</x:v>
      </x:c>
      <x:c r="G9" s="18" t="str">
        <x:v>V8X</x:v>
      </x:c>
      <x:c r="H9" s="18" t="str">
        <x:v>CC6510DG21HABEV</x:v>
      </x:c>
      <x:c r="I9" s="18" t="str">
        <x:v>纯电动多用途乘用车</x:v>
      </x:c>
      <x:c r="J9" s="20" t="n">
        <x:v>5125</x:v>
      </x:c>
      <x:c r="K9" s="20" t="n">
        <x:v>2025</x:v>
      </x:c>
      <x:c r="L9" s="20" t="n">
        <x:v>1821</x:v>
      </x:c>
      <x:c r="M9" s="20" t="n">
        <x:v>3050</x:v>
      </x:c>
      <x:c r="N9" s="20" t="n">
        <x:v>2650</x:v>
      </x:c>
      <x:c r="O9" s="20" t="n">
        <x:v>3105</x:v>
      </x:c>
      <x:c r="P9" s="24" t="n">
        <x:v>220</x:v>
      </x:c>
      <x:c r="Q9" s="18" t="str">
        <x:v>5</x:v>
      </x:c>
      <x:c r="R9" s="24" t="n">
        <x:v>665</x:v>
      </x:c>
      <x:c r="S9" s="25" t="n">
        <x:v>100</x:v>
      </x:c>
      <x:c r="T9" s="18" t="str">
        <x:v>镍钴锰三元锂蓄电池</x:v>
      </x:c>
      <x:c r="U9" s="18" t="str">
        <x:v>巢能源科技股份有限公司(单体)/蜂巢能源科技股份有限公司(总成)</x:v>
      </x:c>
      <x:c r="V9" s="18" t="str">
        <x:v>蜂</x:v>
      </x:c>
      <x:c r="W9" s="18" t="str">
        <x:v>220/320</x:v>
      </x:c>
      <x:c r="X9" s="25" t="n">
        <x:v>540</x:v>
      </x:c>
      <x:c r="Y9" s="23" t="str">
        <x:v>双电机</x:v>
      </x:c>
      <x:c r="Z9" s="20"/>
      <x:c r="AA9" s="21"/>
      <x:c r="AB9" s="21"/>
      <x:c r="AC9" s="23" t="str">
        <x:v>型号级新增</x:v>
      </x:c>
      <x:c r="AD9" s="18" t="str">
        <x:v>https://www.miit.gov.cn/datainfo/dljdclscqyjcpgg/xcpgs411sdwdw3/art/2026/art_5fabdca81ec346edbd28653c2ef15102.html</x:v>
      </x:c>
      <x:c r="AE9" s="18" t="str">
        <x:v>发动机功率</x:v>
      </x:c>
    </x:row>
    <x:row r="10">
      <x:c r="A10" s="22" t="n">
        <x:v>411</x:v>
      </x:c>
      <x:c r="B10" s="23" t="str">
        <x:v>正式公告</x:v>
      </x:c>
      <x:c r="C10" s="23" t="str">
        <x:v>纯电(BEV)</x:v>
      </x:c>
      <x:c r="D10" s="23" t="str">
        <x:v>否</x:v>
      </x:c>
      <x:c r="E10" s="18" t="str">
        <x:v>北京理想汽车有限公司</x:v>
      </x:c>
      <x:c r="F10" s="18" t="str">
        <x:v>理想牌</x:v>
      </x:c>
      <x:c r="G10" s="18" t="str">
        <x:v>理想i6</x:v>
      </x:c>
      <x:c r="H10" s="18" t="str">
        <x:v>LXA6503BEVW05</x:v>
      </x:c>
      <x:c r="I10" s="18" t="str">
        <x:v>纯电动多用途乘用车</x:v>
      </x:c>
      <x:c r="J10" s="20" t="n">
        <x:v>4950</x:v>
      </x:c>
      <x:c r="K10" s="20" t="n">
        <x:v>1935</x:v>
      </x:c>
      <x:c r="L10" s="20" t="n">
        <x:v>1655</x:v>
      </x:c>
      <x:c r="M10" s="20" t="n">
        <x:v>3000</x:v>
      </x:c>
      <x:c r="N10" s="20" t="n">
        <x:v>2395</x:v>
      </x:c>
      <x:c r="O10" s="20" t="n">
        <x:v>2935</x:v>
      </x:c>
      <x:c r="P10" s="24" t="n">
        <x:v>200</x:v>
      </x:c>
      <x:c r="Q10" s="18" t="str">
        <x:v>5</x:v>
      </x:c>
      <x:c r="R10" s="24" t="n">
        <x:v>780</x:v>
      </x:c>
      <x:c r="S10" s="25" t="n">
        <x:v>96</x:v>
      </x:c>
      <x:c r="T10" s="18" t="str">
        <x:v>磷酸铁锂蓄电池</x:v>
      </x:c>
      <x:c r="U10" s="18"/>
      <x:c r="V10" s="18"/>
      <x:c r="W10" s="18" t="str">
        <x:v>250</x:v>
      </x:c>
      <x:c r="X10" s="25" t="n">
        <x:v>250</x:v>
      </x:c>
      <x:c r="Y10" s="23" t="str">
        <x:v>单电机</x:v>
      </x:c>
      <x:c r="Z10" s="20"/>
      <x:c r="AA10" s="21"/>
      <x:c r="AB10" s="21"/>
      <x:c r="AC10" s="23" t="str">
        <x:v>型号级新增</x:v>
      </x:c>
      <x:c r="AD10" s="18" t="str">
        <x:v>https://www.miit.gov.cn/datainfo/dljdclscqyjcpgg/xcpgs411sdwdw3/art/2026/art_33b47060cc074b819d030aaa95a7973d.html</x:v>
      </x:c>
      <x:c r="AE10" s="18" t="str">
        <x:v>发动机功率</x:v>
      </x:c>
    </x:row>
    <x:row r="11">
      <x:c r="A11" s="22" t="n">
        <x:v>411</x:v>
      </x:c>
      <x:c r="B11" s="23" t="str">
        <x:v>正式公告</x:v>
      </x:c>
      <x:c r="C11" s="23" t="str">
        <x:v>纯电(BEV)</x:v>
      </x:c>
      <x:c r="D11" s="23" t="str">
        <x:v>否</x:v>
      </x:c>
      <x:c r="E11" s="18" t="str">
        <x:v>北京理想汽车有限公司</x:v>
      </x:c>
      <x:c r="F11" s="18" t="str">
        <x:v>理想牌</x:v>
      </x:c>
      <x:c r="G11" s="18" t="str">
        <x:v>理想i6</x:v>
      </x:c>
      <x:c r="H11" s="18" t="str">
        <x:v>LXA6503BEVW06</x:v>
      </x:c>
      <x:c r="I11" s="18" t="str">
        <x:v>纯电动多用途乘用车</x:v>
      </x:c>
      <x:c r="J11" s="20" t="n">
        <x:v>4950</x:v>
      </x:c>
      <x:c r="K11" s="20" t="n">
        <x:v>1935</x:v>
      </x:c>
      <x:c r="L11" s="20" t="n">
        <x:v>1655</x:v>
      </x:c>
      <x:c r="M11" s="20" t="n">
        <x:v>3000</x:v>
      </x:c>
      <x:c r="N11" s="20" t="n">
        <x:v>2520</x:v>
      </x:c>
      <x:c r="O11" s="20" t="n">
        <x:v>3060</x:v>
      </x:c>
      <x:c r="P11" s="24" t="n">
        <x:v>200</x:v>
      </x:c>
      <x:c r="Q11" s="18" t="str">
        <x:v>5</x:v>
      </x:c>
      <x:c r="R11" s="24" t="n">
        <x:v>720</x:v>
      </x:c>
      <x:c r="S11" s="25" t="n">
        <x:v>96</x:v>
      </x:c>
      <x:c r="T11" s="18" t="str">
        <x:v>磷酸铁锂蓄电池</x:v>
      </x:c>
      <x:c r="U11" s="18"/>
      <x:c r="V11" s="18"/>
      <x:c r="W11" s="18" t="str">
        <x:v>150/250</x:v>
      </x:c>
      <x:c r="X11" s="25" t="n">
        <x:v>400</x:v>
      </x:c>
      <x:c r="Y11" s="23" t="str">
        <x:v>双电机</x:v>
      </x:c>
      <x:c r="Z11" s="20"/>
      <x:c r="AA11" s="21"/>
      <x:c r="AB11" s="21"/>
      <x:c r="AC11" s="23" t="str">
        <x:v>型号级新增</x:v>
      </x:c>
      <x:c r="AD11" s="18" t="str">
        <x:v>https://www.miit.gov.cn/datainfo/dljdclscqyjcpgg/xcpgs411sdwdw3/art/2026/art_0c9d806fa39e4e2a889e9691e2ff8ba2.html</x:v>
      </x:c>
      <x:c r="AE11" s="18" t="str">
        <x:v>发动机功率</x:v>
      </x:c>
    </x:row>
    <x:row r="12">
      <x:c r="A12" s="22" t="n">
        <x:v>411</x:v>
      </x:c>
      <x:c r="B12" s="23" t="str">
        <x:v>正式公告</x:v>
      </x:c>
      <x:c r="C12" s="23" t="str">
        <x:v>纯电(BEV)</x:v>
      </x:c>
      <x:c r="D12" s="23" t="str">
        <x:v>否</x:v>
      </x:c>
      <x:c r="E12" s="18" t="str">
        <x:v>北京理想汽车有限公司</x:v>
      </x:c>
      <x:c r="F12" s="18" t="str">
        <x:v>理想牌</x:v>
      </x:c>
      <x:c r="G12" s="18" t="str">
        <x:v>理想i6</x:v>
      </x:c>
      <x:c r="H12" s="18" t="str">
        <x:v>LXA6503BEVW04</x:v>
      </x:c>
      <x:c r="I12" s="18" t="str">
        <x:v>纯电动多用途乘用车</x:v>
      </x:c>
      <x:c r="J12" s="20" t="n">
        <x:v>4950</x:v>
      </x:c>
      <x:c r="K12" s="20" t="n">
        <x:v>1935</x:v>
      </x:c>
      <x:c r="L12" s="20" t="n">
        <x:v>1655</x:v>
      </x:c>
      <x:c r="M12" s="20" t="n">
        <x:v>3000</x:v>
      </x:c>
      <x:c r="N12" s="20" t="n">
        <x:v>2520</x:v>
      </x:c>
      <x:c r="O12" s="20" t="n">
        <x:v>3060</x:v>
      </x:c>
      <x:c r="P12" s="24" t="n">
        <x:v>200</x:v>
      </x:c>
      <x:c r="Q12" s="18" t="str">
        <x:v>5</x:v>
      </x:c>
      <x:c r="R12" s="24" t="n">
        <x:v>720</x:v>
      </x:c>
      <x:c r="S12" s="25" t="n">
        <x:v>96</x:v>
      </x:c>
      <x:c r="T12" s="18" t="str">
        <x:v>磷酸铁锂蓄电池</x:v>
      </x:c>
      <x:c r="U12" s="18"/>
      <x:c r="V12" s="18"/>
      <x:c r="W12" s="18" t="str">
        <x:v>150/250</x:v>
      </x:c>
      <x:c r="X12" s="25" t="n">
        <x:v>400</x:v>
      </x:c>
      <x:c r="Y12" s="23" t="str">
        <x:v>双电机</x:v>
      </x:c>
      <x:c r="Z12" s="20"/>
      <x:c r="AA12" s="21"/>
      <x:c r="AB12" s="21"/>
      <x:c r="AC12" s="23" t="str">
        <x:v>型号级新增</x:v>
      </x:c>
      <x:c r="AD12" s="18" t="str">
        <x:v>https://www.miit.gov.cn/datainfo/dljdclscqyjcpgg/xcpgs411sdwdw3/art/2026/art_0afba0a0d1dd436191b1611b8de92ee3.html</x:v>
      </x:c>
      <x:c r="AE12" s="18" t="str">
        <x:v>发动机功率</x:v>
      </x:c>
    </x:row>
    <x:row r="13">
      <x:c r="A13" s="22" t="n">
        <x:v>411</x:v>
      </x:c>
      <x:c r="B13" s="23" t="str">
        <x:v>正式公告</x:v>
      </x:c>
      <x:c r="C13" s="23" t="str">
        <x:v>纯电(BEV)</x:v>
      </x:c>
      <x:c r="D13" s="23" t="str">
        <x:v>否</x:v>
      </x:c>
      <x:c r="E13" s="18" t="str">
        <x:v>北京理想汽车有限公司</x:v>
      </x:c>
      <x:c r="F13" s="18" t="str">
        <x:v>理想牌</x:v>
      </x:c>
      <x:c r="G13" s="18" t="str">
        <x:v>理想MEGA</x:v>
      </x:c>
      <x:c r="H13" s="18" t="str">
        <x:v>LXA6540BEVW12</x:v>
      </x:c>
      <x:c r="I13" s="18" t="str">
        <x:v>纯电动多用途乘用车</x:v>
      </x:c>
      <x:c r="J13" s="20" t="n">
        <x:v>5355</x:v>
      </x:c>
      <x:c r="K13" s="20" t="n">
        <x:v>1965</x:v>
      </x:c>
      <x:c r="L13" s="20" t="n">
        <x:v>1850</x:v>
      </x:c>
      <x:c r="M13" s="20" t="n">
        <x:v>3300</x:v>
      </x:c>
      <x:c r="N13" s="20" t="n">
        <x:v>2925</x:v>
      </x:c>
      <x:c r="O13" s="20" t="n">
        <x:v>3475</x:v>
      </x:c>
      <x:c r="P13" s="24" t="n">
        <x:v>200</x:v>
      </x:c>
      <x:c r="Q13" s="18" t="str">
        <x:v>7</x:v>
      </x:c>
      <x:c r="R13" s="24" t="n">
        <x:v>710</x:v>
      </x:c>
      <x:c r="S13" s="25" t="n">
        <x:v>108</x:v>
      </x:c>
      <x:c r="T13" s="18" t="str">
        <x:v>三元锂离子动力电池</x:v>
      </x:c>
      <x:c r="U13" s="18"/>
      <x:c r="V13" s="18"/>
      <x:c r="W13" s="18" t="str">
        <x:v>155/258</x:v>
      </x:c>
      <x:c r="X13" s="25" t="n">
        <x:v>413</x:v>
      </x:c>
      <x:c r="Y13" s="23" t="str">
        <x:v>双电机</x:v>
      </x:c>
      <x:c r="Z13" s="20"/>
      <x:c r="AA13" s="21"/>
      <x:c r="AB13" s="21"/>
      <x:c r="AC13" s="23" t="str">
        <x:v>型号级新增</x:v>
      </x:c>
      <x:c r="AD13" s="18" t="str">
        <x:v>https://www.miit.gov.cn/datainfo/dljdclscqyjcpgg/xcpgs411sdwdw3/art/2026/art_dca86f639c89456183357eb6c3393f10.html</x:v>
      </x:c>
      <x:c r="AE13" s="18" t="str">
        <x:v>发动机功率</x:v>
      </x:c>
    </x:row>
    <x:row r="14">
      <x:c r="A14" s="22" t="n">
        <x:v>411</x:v>
      </x:c>
      <x:c r="B14" s="23" t="str">
        <x:v>正式公告</x:v>
      </x:c>
      <x:c r="C14" s="23" t="str">
        <x:v>纯电(BEV)</x:v>
      </x:c>
      <x:c r="D14" s="23" t="str">
        <x:v>否</x:v>
      </x:c>
      <x:c r="E14" s="18" t="str">
        <x:v>东风汽车集团有限公司</x:v>
      </x:c>
      <x:c r="F14" s="18" t="str">
        <x:v>东风牌</x:v>
      </x:c>
      <x:c r="G14" s="18" t="str">
        <x:v>奕派EP7</x:v>
      </x:c>
      <x:c r="H14" s="18" t="str">
        <x:v>DFM7002S1F3BEV</x:v>
      </x:c>
      <x:c r="I14" s="18" t="str">
        <x:v>纯电动轿车</x:v>
      </x:c>
      <x:c r="J14" s="20" t="n">
        <x:v>4910</x:v>
      </x:c>
      <x:c r="K14" s="20" t="n">
        <x:v>1930</x:v>
      </x:c>
      <x:c r="L14" s="20" t="n">
        <x:v>1478</x:v>
      </x:c>
      <x:c r="M14" s="20" t="n">
        <x:v>2920</x:v>
      </x:c>
      <x:c r="N14" s="20" t="n">
        <x:v>1905</x:v>
      </x:c>
      <x:c r="O14" s="20" t="n">
        <x:v>2305</x:v>
      </x:c>
      <x:c r="P14" s="24" t="n">
        <x:v>201</x:v>
      </x:c>
      <x:c r="Q14" s="18" t="str">
        <x:v>5</x:v>
      </x:c>
      <x:c r="R14" s="24" t="n">
        <x:v>1010</x:v>
      </x:c>
      <x:c r="S14" s="25" t="n">
        <x:v>101.6</x:v>
      </x:c>
      <x:c r="T14" s="18" t="str">
        <x:v>三元锂离子电池</x:v>
      </x:c>
      <x:c r="U14" s="18"/>
      <x:c r="V14" s="18"/>
      <x:c r="W14" s="18" t="str">
        <x:v>215</x:v>
      </x:c>
      <x:c r="X14" s="25" t="n">
        <x:v>215</x:v>
      </x:c>
      <x:c r="Y14" s="23" t="str">
        <x:v>单电机</x:v>
      </x:c>
      <x:c r="Z14" s="20"/>
      <x:c r="AA14" s="21"/>
      <x:c r="AB14" s="21"/>
      <x:c r="AC14" s="23" t="str">
        <x:v>型号级新增</x:v>
      </x:c>
      <x:c r="AD14" s="18" t="str">
        <x:v>https://www.miit.gov.cn/datainfo/dljdclscqyjcpgg/xcpgs411sdwdw3/art/2026/art_bea2d50dca4a44578dea996bb6467f1b.html</x:v>
      </x:c>
      <x:c r="AE14" s="18" t="str">
        <x:v>发动机功率</x:v>
      </x:c>
    </x:row>
    <x:row r="15">
      <x:c r="A15" s="22" t="n">
        <x:v>411</x:v>
      </x:c>
      <x:c r="B15" s="23" t="str">
        <x:v>正式公告</x:v>
      </x:c>
      <x:c r="C15" s="23" t="str">
        <x:v>纯电(BEV)</x:v>
      </x:c>
      <x:c r="D15" s="23" t="str">
        <x:v>否</x:v>
      </x:c>
      <x:c r="E15" s="18" t="str">
        <x:v>华晨宝马汽车有限公司</x:v>
      </x:c>
      <x:c r="F15" s="18" t="str">
        <x:v>宝马(BMW)牌</x:v>
      </x:c>
      <x:c r="G15" s="18" t="str">
        <x:v>新世代BMW i3长轴距版</x:v>
      </x:c>
      <x:c r="H15" s="18" t="str">
        <x:v>BMW7000BABEV</x:v>
      </x:c>
      <x:c r="I15" s="18" t="str">
        <x:v>纯电动轿车</x:v>
      </x:c>
      <x:c r="J15" s="20" t="n">
        <x:v>4864</x:v>
      </x:c>
      <x:c r="K15" s="20" t="n">
        <x:v>1865</x:v>
      </x:c>
      <x:c r="L15" s="20" t="n">
        <x:v>1490</x:v>
      </x:c>
      <x:c r="M15" s="20" t="n">
        <x:v>3005</x:v>
      </x:c>
      <x:c r="N15" s="20" t="n">
        <x:v>2074</x:v>
      </x:c>
      <x:c r="O15" s="20" t="n">
        <x:v>2550</x:v>
      </x:c>
      <x:c r="P15" s="24" t="n">
        <x:v>200</x:v>
      </x:c>
      <x:c r="Q15" s="18" t="str">
        <x:v>5</x:v>
      </x:c>
      <x:c r="R15" s="24" t="n">
        <x:v>802</x:v>
      </x:c>
      <x:c r="S15" s="25" t="n">
        <x:v>86.9</x:v>
      </x:c>
      <x:c r="T15" s="18" t="str">
        <x:v>三元锂离子电池</x:v>
      </x:c>
      <x:c r="U15" s="18"/>
      <x:c r="V15" s="18"/>
      <x:c r="W15" s="18" t="str">
        <x:v>235</x:v>
      </x:c>
      <x:c r="X15" s="25" t="n">
        <x:v>235</x:v>
      </x:c>
      <x:c r="Y15" s="23" t="str">
        <x:v>单电机</x:v>
      </x:c>
      <x:c r="Z15" s="20"/>
      <x:c r="AA15" s="21"/>
      <x:c r="AB15" s="21"/>
      <x:c r="AC15" s="23" t="str">
        <x:v>型号级新增</x:v>
      </x:c>
      <x:c r="AD15" s="18" t="str">
        <x:v>https://www.miit.gov.cn/datainfo/dljdclscqyjcpgg/xcpgs411sdwdw3/art/2026/art_0ccf1d9f0b6e4e0ba8c375146ac00784.html</x:v>
      </x:c>
      <x:c r="AE15" s="18" t="str">
        <x:v>发动机功率</x:v>
      </x:c>
    </x:row>
    <x:row r="16">
      <x:c r="A16" s="22" t="n">
        <x:v>411</x:v>
      </x:c>
      <x:c r="B16" s="23" t="str">
        <x:v>正式公告</x:v>
      </x:c>
      <x:c r="C16" s="23" t="str">
        <x:v>纯电(BEV)</x:v>
      </x:c>
      <x:c r="D16" s="23" t="str">
        <x:v>否</x:v>
      </x:c>
      <x:c r="E16" s="18" t="str">
        <x:v>北汽蓝谷麦格纳汽车有限公司</x:v>
      </x:c>
      <x:c r="F16" s="18" t="str">
        <x:v>极狐(ARCFOX)牌</x:v>
      </x:c>
      <x:c r="G16" s="18" t="str">
        <x:v>αS5</x:v>
      </x:c>
      <x:c r="H16" s="18" t="str">
        <x:v>BJ7001A51HBEV</x:v>
      </x:c>
      <x:c r="I16" s="18" t="str">
        <x:v>纯电动轿车</x:v>
      </x:c>
      <x:c r="J16" s="20" t="n">
        <x:v>4886</x:v>
      </x:c>
      <x:c r="K16" s="20" t="n">
        <x:v>1930</x:v>
      </x:c>
      <x:c r="L16" s="20" t="n">
        <x:v>1480</x:v>
      </x:c>
      <x:c r="M16" s="20" t="n">
        <x:v>2900</x:v>
      </x:c>
      <x:c r="N16" s="20" t="n">
        <x:v>1885</x:v>
      </x:c>
      <x:c r="O16" s="20" t="n">
        <x:v>2260</x:v>
      </x:c>
      <x:c r="P16" s="24" t="n">
        <x:v>175</x:v>
      </x:c>
      <x:c r="Q16" s="18" t="str">
        <x:v>5</x:v>
      </x:c>
      <x:c r="R16" s="24" t="n">
        <x:v>650</x:v>
      </x:c>
      <x:c r="S16" s="25" t="n">
        <x:v>64.8</x:v>
      </x:c>
      <x:c r="T16" s="18"/>
      <x:c r="U16" s="18"/>
      <x:c r="V16" s="18"/>
      <x:c r="W16" s="18" t="str">
        <x:v>200</x:v>
      </x:c>
      <x:c r="X16" s="25" t="n">
        <x:v>200</x:v>
      </x:c>
      <x:c r="Y16" s="23" t="str">
        <x:v>单电机</x:v>
      </x:c>
      <x:c r="Z16" s="20"/>
      <x:c r="AA16" s="21"/>
      <x:c r="AB16" s="21"/>
      <x:c r="AC16" s="23" t="str">
        <x:v>型号级新增</x:v>
      </x:c>
      <x:c r="AD16" s="18" t="str">
        <x:v>https://www.miit.gov.cn/datainfo/dljdclscqyjcpgg/xcpgs411sdwdw3/art/2026/art_ace269f59be841da834d6103f9313e18.html</x:v>
      </x:c>
      <x:c r="AE16" s="18" t="str">
        <x:v>电池类型、发动机功率</x:v>
      </x:c>
    </x:row>
    <x:row r="17">
      <x:c r="A17" s="22" t="n">
        <x:v>411</x:v>
      </x:c>
      <x:c r="B17" s="23" t="str">
        <x:v>正式公告</x:v>
      </x:c>
      <x:c r="C17" s="23" t="str">
        <x:v>纯电(BEV)</x:v>
      </x:c>
      <x:c r="D17" s="23" t="str">
        <x:v>否</x:v>
      </x:c>
      <x:c r="E17" s="18" t="str">
        <x:v>上汽大众汽车有限公司</x:v>
      </x:c>
      <x:c r="F17" s="18" t="str">
        <x:v>大众汽车(VOLKSWAGEN)牌</x:v>
      </x:c>
      <x:c r="G17" s="18" t="str">
        <x:v>ID.ERA 5X</x:v>
      </x:c>
      <x:c r="H17" s="18" t="str">
        <x:v>SVW646194AEV</x:v>
      </x:c>
      <x:c r="I17" s="18" t="str">
        <x:v>纯电动多用途乘用车</x:v>
      </x:c>
      <x:c r="J17" s="20" t="n">
        <x:v>4560</x:v>
      </x:c>
      <x:c r="K17" s="20" t="n">
        <x:v>1896</x:v>
      </x:c>
      <x:c r="L17" s="20" t="n">
        <x:v>1630</x:v>
      </x:c>
      <x:c r="M17" s="20" t="n">
        <x:v>2815</x:v>
      </x:c>
      <x:c r="N17" s="20" t="n">
        <x:v>1780</x:v>
      </x:c>
      <x:c r="O17" s="20" t="n">
        <x:v>2230</x:v>
      </x:c>
      <x:c r="P17" s="24" t="n">
        <x:v>175</x:v>
      </x:c>
      <x:c r="Q17" s="18" t="str">
        <x:v>5</x:v>
      </x:c>
      <x:c r="R17" s="24" t="n">
        <x:v>520</x:v>
      </x:c>
      <x:c r="S17" s="25" t="n">
        <x:v>58.5</x:v>
      </x:c>
      <x:c r="T17" s="18"/>
      <x:c r="U17" s="18"/>
      <x:c r="V17" s="18"/>
      <x:c r="W17" s="18" t="str">
        <x:v>155</x:v>
      </x:c>
      <x:c r="X17" s="25" t="n">
        <x:v>155</x:v>
      </x:c>
      <x:c r="Y17" s="23" t="str">
        <x:v>单电机</x:v>
      </x:c>
      <x:c r="Z17" s="20"/>
      <x:c r="AA17" s="21"/>
      <x:c r="AB17" s="21"/>
      <x:c r="AC17" s="23" t="str">
        <x:v>型号级新增</x:v>
      </x:c>
      <x:c r="AD17" s="18" t="str">
        <x:v>https://www.miit.gov.cn/datainfo/dljdclscqyjcpgg/xcpgs411sdwdw3/art/2026/art_30e3ea01d08a480c96bed6e747ee3ab9.html</x:v>
      </x:c>
      <x:c r="AE17" s="18" t="str">
        <x:v>电池类型、发动机功率</x:v>
      </x:c>
    </x:row>
    <x:row r="18">
      <x:c r="A18" s="22" t="n">
        <x:v>411</x:v>
      </x:c>
      <x:c r="B18" s="23" t="str">
        <x:v>正式公告</x:v>
      </x:c>
      <x:c r="C18" s="23" t="str">
        <x:v>纯电(BEV)</x:v>
      </x:c>
      <x:c r="D18" s="23" t="str">
        <x:v>否</x:v>
      </x:c>
      <x:c r="E18" s="18" t="str">
        <x:v>上汽大众汽车有限公司</x:v>
      </x:c>
      <x:c r="F18" s="18" t="str">
        <x:v>大众汽车(VOLKSWAGEN)牌</x:v>
      </x:c>
      <x:c r="G18" s="18" t="str">
        <x:v>ID.ERA 5X</x:v>
      </x:c>
      <x:c r="H18" s="18" t="str">
        <x:v>SVW646193AEV</x:v>
      </x:c>
      <x:c r="I18" s="18" t="str">
        <x:v>纯电动多用途乘用车</x:v>
      </x:c>
      <x:c r="J18" s="20" t="n">
        <x:v>4560</x:v>
      </x:c>
      <x:c r="K18" s="20" t="n">
        <x:v>1896</x:v>
      </x:c>
      <x:c r="L18" s="20" t="n">
        <x:v>1630</x:v>
      </x:c>
      <x:c r="M18" s="20" t="n">
        <x:v>2815</x:v>
      </x:c>
      <x:c r="N18" s="20" t="n">
        <x:v>1685</x:v>
      </x:c>
      <x:c r="O18" s="20" t="n">
        <x:v>2135</x:v>
      </x:c>
      <x:c r="P18" s="24" t="n">
        <x:v>175</x:v>
      </x:c>
      <x:c r="Q18" s="18" t="str">
        <x:v>5</x:v>
      </x:c>
      <x:c r="R18" s="24" t="n">
        <x:v>415</x:v>
      </x:c>
      <x:c r="S18" s="25" t="n">
        <x:v>45.8</x:v>
      </x:c>
      <x:c r="T18" s="18"/>
      <x:c r="U18" s="18"/>
      <x:c r="V18" s="18"/>
      <x:c r="W18" s="18" t="str">
        <x:v>155</x:v>
      </x:c>
      <x:c r="X18" s="25" t="n">
        <x:v>155</x:v>
      </x:c>
      <x:c r="Y18" s="23" t="str">
        <x:v>单电机</x:v>
      </x:c>
      <x:c r="Z18" s="20"/>
      <x:c r="AA18" s="21"/>
      <x:c r="AB18" s="21"/>
      <x:c r="AC18" s="23" t="str">
        <x:v>型号级新增</x:v>
      </x:c>
      <x:c r="AD18" s="18" t="str">
        <x:v>https://www.miit.gov.cn/datainfo/dljdclscqyjcpgg/xcpgs411sdwdw3/art/2026/art_fab94d574a894d059e387ecebebb1b59.html</x:v>
      </x:c>
      <x:c r="AE18" s="18" t="str">
        <x:v>电池类型、发动机功率</x:v>
      </x:c>
    </x:row>
    <x:row r="19">
      <x:c r="A19" s="22" t="n">
        <x:v>411</x:v>
      </x:c>
      <x:c r="B19" s="23" t="str">
        <x:v>正式公告</x:v>
      </x:c>
      <x:c r="C19" s="23" t="str">
        <x:v>纯电(BEV)</x:v>
      </x:c>
      <x:c r="D19" s="23" t="str">
        <x:v>否</x:v>
      </x:c>
      <x:c r="E19" s="18" t="str">
        <x:v>浙江吉利汽车有限公司</x:v>
      </x:c>
      <x:c r="F19" s="18" t="str">
        <x:v>极氪牌</x:v>
      </x:c>
      <x:c r="G19" s="18" t="str">
        <x:v>7X</x:v>
      </x:c>
      <x:c r="H19" s="18" t="str">
        <x:v>MR6481BEV106</x:v>
      </x:c>
      <x:c r="I19" s="18" t="str">
        <x:v>纯电动多用途乘用车</x:v>
      </x:c>
      <x:c r="J19" s="20" t="n">
        <x:v>4825</x:v>
      </x:c>
      <x:c r="K19" s="20" t="n">
        <x:v>1930</x:v>
      </x:c>
      <x:c r="L19" s="20" t="n">
        <x:v>1666</x:v>
      </x:c>
      <x:c r="M19" s="20" t="n">
        <x:v>2925</x:v>
      </x:c>
      <x:c r="N19" s="20" t="n">
        <x:v>2300</x:v>
      </x:c>
      <x:c r="O19" s="20" t="n">
        <x:v>2800</x:v>
      </x:c>
      <x:c r="P19" s="24" t="n">
        <x:v>240</x:v>
      </x:c>
      <x:c r="Q19" s="18" t="str">
        <x:v>5</x:v>
      </x:c>
      <x:c r="R19" s="24" t="n">
        <x:v>680</x:v>
      </x:c>
      <x:c r="S19" s="25" t="n">
        <x:v>85.06</x:v>
      </x:c>
      <x:c r="T19" s="18" t="str">
        <x:v>磷酸铁锂锂离子电池</x:v>
      </x:c>
      <x:c r="U19" s="18"/>
      <x:c r="V19" s="18"/>
      <x:c r="W19" s="18" t="str">
        <x:v>370</x:v>
      </x:c>
      <x:c r="X19" s="25" t="n">
        <x:v>370</x:v>
      </x:c>
      <x:c r="Y19" s="23" t="str">
        <x:v>单电机</x:v>
      </x:c>
      <x:c r="Z19" s="20" t="n">
        <x:v>0</x:v>
      </x:c>
      <x:c r="AA19" s="21"/>
      <x:c r="AB19" s="21"/>
      <x:c r="AC19" s="23" t="str">
        <x:v>型号级新增</x:v>
      </x:c>
      <x:c r="AD19" s="18" t="str">
        <x:v>https://www.miit.gov.cn/datainfo/dljdclscqyjcpgg/xcpgs411sdwdw3/art/2026/art_e37a6c11c74444fbbc24e3618e504d22.html</x:v>
      </x:c>
      <x:c r="AE19" s="18" t="str">
        <x:v>发动机功率</x:v>
      </x:c>
    </x:row>
    <x:row r="20">
      <x:c r="A20" s="22" t="n">
        <x:v>411</x:v>
      </x:c>
      <x:c r="B20" s="23" t="str">
        <x:v>正式公告</x:v>
      </x:c>
      <x:c r="C20" s="23" t="str">
        <x:v>纯电(BEV)</x:v>
      </x:c>
      <x:c r="D20" s="23" t="str">
        <x:v>否</x:v>
      </x:c>
      <x:c r="E20" s="18" t="str">
        <x:v>浙江吉利汽车有限公司</x:v>
      </x:c>
      <x:c r="F20" s="18" t="str">
        <x:v>极氪牌</x:v>
      </x:c>
      <x:c r="G20" s="18" t="str">
        <x:v>009光辉</x:v>
      </x:c>
      <x:c r="H20" s="18" t="str">
        <x:v>MR6521BEV101</x:v>
      </x:c>
      <x:c r="I20" s="18" t="str">
        <x:v>纯电动多用途乘用车</x:v>
      </x:c>
      <x:c r="J20" s="20" t="n">
        <x:v>5217</x:v>
      </x:c>
      <x:c r="K20" s="20" t="n">
        <x:v>2024</x:v>
      </x:c>
      <x:c r="L20" s="20" t="n">
        <x:v>1812</x:v>
      </x:c>
      <x:c r="M20" s="20" t="n">
        <x:v>3205</x:v>
      </x:c>
      <x:c r="N20" s="20" t="n">
        <x:v>2970</x:v>
      </x:c>
      <x:c r="O20" s="20" t="n">
        <x:v>3340</x:v>
      </x:c>
      <x:c r="P20" s="24" t="n">
        <x:v>220</x:v>
      </x:c>
      <x:c r="Q20" s="18" t="str">
        <x:v>4</x:v>
      </x:c>
      <x:c r="R20" s="24" t="n">
        <x:v>720</x:v>
      </x:c>
      <x:c r="S20" s="25" t="n">
        <x:v>115</x:v>
      </x:c>
      <x:c r="T20" s="18" t="str">
        <x:v>三元锂离子电池</x:v>
      </x:c>
      <x:c r="U20" s="18"/>
      <x:c r="V20" s="18"/>
      <x:c r="W20" s="18" t="str">
        <x:v>310/370</x:v>
      </x:c>
      <x:c r="X20" s="25" t="n">
        <x:v>680</x:v>
      </x:c>
      <x:c r="Y20" s="23" t="str">
        <x:v>双电机</x:v>
      </x:c>
      <x:c r="Z20" s="20"/>
      <x:c r="AA20" s="21"/>
      <x:c r="AB20" s="21"/>
      <x:c r="AC20" s="23" t="str">
        <x:v>型号级新增</x:v>
      </x:c>
      <x:c r="AD20" s="18" t="str">
        <x:v>https://www.miit.gov.cn/datainfo/dljdclscqyjcpgg/xcpgs411sdwdw3/art/2026/art_91d0c7d57d9c45029e5e48dd8b602ba7.html</x:v>
      </x:c>
      <x:c r="AE20" s="18" t="str">
        <x:v>发动机功率</x:v>
      </x:c>
    </x:row>
    <x:row r="21">
      <x:c r="A21" s="22" t="n">
        <x:v>411</x:v>
      </x:c>
      <x:c r="B21" s="23" t="str">
        <x:v>正式公告</x:v>
      </x:c>
      <x:c r="C21" s="23" t="str">
        <x:v>纯电(BEV)</x:v>
      </x:c>
      <x:c r="D21" s="23" t="str">
        <x:v>否</x:v>
      </x:c>
      <x:c r="E21" s="18" t="str">
        <x:v>比亚迪汽车工业有限公司</x:v>
      </x:c>
      <x:c r="F21" s="18" t="str">
        <x:v>比亚迪牌</x:v>
      </x:c>
      <x:c r="G21" s="18" t="str">
        <x:v>比亚迪海鸥</x:v>
      </x:c>
      <x:c r="H21" s="18" t="str">
        <x:v>BYD7000CFBEV3</x:v>
      </x:c>
      <x:c r="I21" s="18" t="str">
        <x:v>纯电动轿车</x:v>
      </x:c>
      <x:c r="J21" s="20" t="n">
        <x:v>4205</x:v>
      </x:c>
      <x:c r="K21" s="20" t="n">
        <x:v>1810</x:v>
      </x:c>
      <x:c r="L21" s="20" t="n">
        <x:v>1570</x:v>
      </x:c>
      <x:c r="M21" s="20" t="n">
        <x:v>2650</x:v>
      </x:c>
      <x:c r="N21" s="20" t="n">
        <x:v>1170</x:v>
      </x:c>
      <x:c r="O21" s="20" t="n">
        <x:v>1545</x:v>
      </x:c>
      <x:c r="P21" s="24" t="n">
        <x:v>150</x:v>
      </x:c>
      <x:c r="Q21" s="18" t="str">
        <x:v>5</x:v>
      </x:c>
      <x:c r="R21" s="24" t="n">
        <x:v>320</x:v>
      </x:c>
      <x:c r="S21" s="25" t="n">
        <x:v>30.105</x:v>
      </x:c>
      <x:c r="T21" s="18" t="str">
        <x:v>磷酸铁锂蓄电池</x:v>
      </x:c>
      <x:c r="U21" s="18"/>
      <x:c r="V21" s="18"/>
      <x:c r="W21" s="18" t="str">
        <x:v>85</x:v>
      </x:c>
      <x:c r="X21" s="25" t="n">
        <x:v>85</x:v>
      </x:c>
      <x:c r="Y21" s="23" t="str">
        <x:v>单电机</x:v>
      </x:c>
      <x:c r="Z21" s="20"/>
      <x:c r="AA21" s="21"/>
      <x:c r="AB21" s="21"/>
      <x:c r="AC21" s="23" t="str">
        <x:v>型号级新增</x:v>
      </x:c>
      <x:c r="AD21" s="18" t="str">
        <x:v>https://www.miit.gov.cn/datainfo/dljdclscqyjcpgg/xcpgs411sdwdw3/art/2026/art_5e8cc0145e1040a79fa312212567706d.html</x:v>
      </x:c>
      <x:c r="AE21" s="18" t="str">
        <x:v>发动机功率</x:v>
      </x:c>
    </x:row>
    <x:row r="22">
      <x:c r="A22" s="22" t="n">
        <x:v>411</x:v>
      </x:c>
      <x:c r="B22" s="23" t="str">
        <x:v>正式公告</x:v>
      </x:c>
      <x:c r="C22" s="23" t="str">
        <x:v>纯电(BEV)</x:v>
      </x:c>
      <x:c r="D22" s="23" t="str">
        <x:v>否</x:v>
      </x:c>
      <x:c r="E22" s="18" t="str">
        <x:v>东风柳州汽车有限公司</x:v>
      </x:c>
      <x:c r="F22" s="18" t="str">
        <x:v>东风牌</x:v>
      </x:c>
      <x:c r="G22" s="18" t="str">
        <x:v>菱智大V</x:v>
      </x:c>
      <x:c r="H22" s="18" t="str">
        <x:v>LZ6510VLD1EV</x:v>
      </x:c>
      <x:c r="I22" s="18" t="str">
        <x:v>纯电动多用途乘用车</x:v>
      </x:c>
      <x:c r="J22" s="20" t="n">
        <x:v>5100</x:v>
      </x:c>
      <x:c r="K22" s="20" t="n">
        <x:v>1900</x:v>
      </x:c>
      <x:c r="L22" s="20" t="n">
        <x:v>1995</x:v>
      </x:c>
      <x:c r="M22" s="20" t="n">
        <x:v>3250</x:v>
      </x:c>
      <x:c r="N22" s="20" t="n">
        <x:v>1930</x:v>
      </x:c>
      <x:c r="O22" s="20" t="n">
        <x:v>2750</x:v>
      </x:c>
      <x:c r="P22" s="24" t="n">
        <x:v>100</x:v>
      </x:c>
      <x:c r="Q22" s="18" t="str">
        <x:v>7</x:v>
      </x:c>
      <x:c r="R22" s="24" t="n">
        <x:v>475</x:v>
      </x:c>
      <x:c r="S22" s="25" t="n">
        <x:v>66.67</x:v>
      </x:c>
      <x:c r="T22" s="18" t="str">
        <x:v>磷酸铁锂蓄电池</x:v>
      </x:c>
      <x:c r="U22" s="18"/>
      <x:c r="V22" s="18"/>
      <x:c r="W22" s="18" t="str">
        <x:v>55/125</x:v>
      </x:c>
      <x:c r="X22" s="25" t="n">
        <x:v>180</x:v>
      </x:c>
      <x:c r="Y22" s="23" t="str">
        <x:v>双电机</x:v>
      </x:c>
      <x:c r="Z22" s="20"/>
      <x:c r="AA22" s="21"/>
      <x:c r="AB22" s="21"/>
      <x:c r="AC22" s="23" t="str">
        <x:v>型号级新增</x:v>
      </x:c>
      <x:c r="AD22" s="18" t="str">
        <x:v>https://www.miit.gov.cn/datainfo/dljdclscqyjcpgg/xcpgs411sdwdw3/art/2026/art_6672d38e91c748c884c6bf51a66d64ca.html</x:v>
      </x:c>
      <x:c r="AE22" s="18" t="str">
        <x:v>发动机功率</x:v>
      </x:c>
    </x:row>
    <x:row r="23">
      <x:c r="A23" s="22" t="n">
        <x:v>411</x:v>
      </x:c>
      <x:c r="B23" s="23" t="str">
        <x:v>正式公告</x:v>
      </x:c>
      <x:c r="C23" s="23" t="str">
        <x:v>纯电(BEV)</x:v>
      </x:c>
      <x:c r="D23" s="23" t="str">
        <x:v>否</x:v>
      </x:c>
      <x:c r="E23" s="18" t="str">
        <x:v>东风柳州汽车有限公司</x:v>
      </x:c>
      <x:c r="F23" s="18" t="str">
        <x:v>东风牌</x:v>
      </x:c>
      <x:c r="G23" s="18" t="str">
        <x:v>小菱智</x:v>
      </x:c>
      <x:c r="H23" s="18" t="str">
        <x:v>LZ6460MJD0EV</x:v>
      </x:c>
      <x:c r="I23" s="18" t="str">
        <x:v>纯电动多用途乘用车</x:v>
      </x:c>
      <x:c r="J23" s="20" t="n">
        <x:v>4570</x:v>
      </x:c>
      <x:c r="K23" s="20" t="n">
        <x:v>1705</x:v>
      </x:c>
      <x:c r="L23" s="20" t="n">
        <x:v>1725</x:v>
      </x:c>
      <x:c r="M23" s="20" t="n">
        <x:v>2800</x:v>
      </x:c>
      <x:c r="N23" s="20" t="n">
        <x:v>1520</x:v>
      </x:c>
      <x:c r="O23" s="20" t="n">
        <x:v>2000</x:v>
      </x:c>
      <x:c r="P23" s="24" t="n">
        <x:v>135</x:v>
      </x:c>
      <x:c r="Q23" s="18" t="str">
        <x:v>5,6</x:v>
      </x:c>
      <x:c r="R23" s="24" t="n">
        <x:v>430</x:v>
      </x:c>
      <x:c r="S23" s="25" t="n">
        <x:v>50.23</x:v>
      </x:c>
      <x:c r="T23" s="18" t="str">
        <x:v>磷酸铁锂蓄电池</x:v>
      </x:c>
      <x:c r="U23" s="18"/>
      <x:c r="V23" s="18"/>
      <x:c r="W23" s="18" t="str">
        <x:v>55/100</x:v>
      </x:c>
      <x:c r="X23" s="25" t="n">
        <x:v>155</x:v>
      </x:c>
      <x:c r="Y23" s="23" t="str">
        <x:v>双电机</x:v>
      </x:c>
      <x:c r="Z23" s="20"/>
      <x:c r="AA23" s="21" t="n">
        <x:v>100</x:v>
      </x:c>
      <x:c r="AB23" s="21"/>
      <x:c r="AC23" s="23" t="str">
        <x:v>型号级新增</x:v>
      </x:c>
      <x:c r="AD23" s="18" t="str">
        <x:v>https://www.miit.gov.cn/datainfo/dljdclscqyjcpgg/xcpgs411sdwdw3/art/2026/art_0c58cb8b6eb44a88b4017400f92e5fc4.html</x:v>
      </x:c>
      <x:c r="AE23" s="18" t="str"/>
    </x:row>
    <x:row r="24">
      <x:c r="A24" s="22" t="n">
        <x:v>411</x:v>
      </x:c>
      <x:c r="B24" s="23" t="str">
        <x:v>正式公告</x:v>
      </x:c>
      <x:c r="C24" s="23" t="str">
        <x:v>纯电(BEV)</x:v>
      </x:c>
      <x:c r="D24" s="23" t="str">
        <x:v>否</x:v>
      </x:c>
      <x:c r="E24" s="18" t="str">
        <x:v>东风柳州汽车有限公司</x:v>
      </x:c>
      <x:c r="F24" s="18" t="str">
        <x:v>东风牌</x:v>
      </x:c>
      <x:c r="G24" s="18" t="str">
        <x:v>菱智大V</x:v>
      </x:c>
      <x:c r="H24" s="18" t="str">
        <x:v>LZ6510VLC1EV</x:v>
      </x:c>
      <x:c r="I24" s="18" t="str">
        <x:v>纯电动多用途乘用车</x:v>
      </x:c>
      <x:c r="J24" s="20" t="n">
        <x:v>5100</x:v>
      </x:c>
      <x:c r="K24" s="20" t="n">
        <x:v>1900</x:v>
      </x:c>
      <x:c r="L24" s="20" t="n">
        <x:v>1995</x:v>
      </x:c>
      <x:c r="M24" s="20" t="n">
        <x:v>3250</x:v>
      </x:c>
      <x:c r="N24" s="20" t="n">
        <x:v>1830</x:v>
      </x:c>
      <x:c r="O24" s="20" t="n">
        <x:v>2750</x:v>
      </x:c>
      <x:c r="P24" s="24" t="n">
        <x:v>100</x:v>
      </x:c>
      <x:c r="Q24" s="18" t="str">
        <x:v>7</x:v>
      </x:c>
      <x:c r="R24" s="24" t="n">
        <x:v>370</x:v>
      </x:c>
      <x:c r="S24" s="25" t="n">
        <x:v>50.23</x:v>
      </x:c>
      <x:c r="T24" s="18" t="str">
        <x:v>磷酸铁锂蓄电池</x:v>
      </x:c>
      <x:c r="U24" s="18"/>
      <x:c r="V24" s="18"/>
      <x:c r="W24" s="18" t="str">
        <x:v>55/125</x:v>
      </x:c>
      <x:c r="X24" s="25" t="n">
        <x:v>180</x:v>
      </x:c>
      <x:c r="Y24" s="23" t="str">
        <x:v>双电机</x:v>
      </x:c>
      <x:c r="Z24" s="20"/>
      <x:c r="AA24" s="21"/>
      <x:c r="AB24" s="21"/>
      <x:c r="AC24" s="23" t="str">
        <x:v>型号级新增</x:v>
      </x:c>
      <x:c r="AD24" s="18" t="str">
        <x:v>https://www.miit.gov.cn/datainfo/dljdclscqyjcpgg/xcpgs411sdwdw3/art/2026/art_ec78ee116eaf4a65aab9d1cc9ffb9aa0.html</x:v>
      </x:c>
      <x:c r="AE24" s="18" t="str">
        <x:v>发动机功率</x:v>
      </x:c>
    </x:row>
    <x:row r="25">
      <x:c r="A25" s="22" t="n">
        <x:v>411</x:v>
      </x:c>
      <x:c r="B25" s="23" t="str">
        <x:v>正式公告</x:v>
      </x:c>
      <x:c r="C25" s="23" t="str">
        <x:v>插电混动(PHEV)</x:v>
      </x:c>
      <x:c r="D25" s="23" t="str">
        <x:v>否</x:v>
      </x:c>
      <x:c r="E25" s="18" t="str">
        <x:v>中国第一汽车集团有限公司</x:v>
      </x:c>
      <x:c r="F25" s="18" t="str">
        <x:v>红旗牌</x:v>
      </x:c>
      <x:c r="G25" s="18" t="str">
        <x:v>红旗HS7</x:v>
      </x:c>
      <x:c r="H25" s="18" t="str">
        <x:v>CA6500HA6PHEVTXC</x:v>
      </x:c>
      <x:c r="I25" s="18" t="str">
        <x:v>插电式混合动力多用途乘用车</x:v>
      </x:c>
      <x:c r="J25" s="20" t="n">
        <x:v>5045</x:v>
      </x:c>
      <x:c r="K25" s="20" t="n">
        <x:v>1970</x:v>
      </x:c>
      <x:c r="L25" s="20" t="n">
        <x:v>1780</x:v>
      </x:c>
      <x:c r="M25" s="20" t="n">
        <x:v>2950</x:v>
      </x:c>
      <x:c r="N25" s="20" t="n">
        <x:v>2490</x:v>
      </x:c>
      <x:c r="O25" s="20" t="n">
        <x:v>3075</x:v>
      </x:c>
      <x:c r="P25" s="24" t="n">
        <x:v>190</x:v>
      </x:c>
      <x:c r="Q25" s="18" t="str">
        <x:v>6,7</x:v>
      </x:c>
      <x:c r="R25" s="24" t="n">
        <x:v>238</x:v>
      </x:c>
      <x:c r="S25" s="25" t="n">
        <x:v>53</x:v>
      </x:c>
      <x:c r="T25" s="18" t="str">
        <x:v>三元材料电池</x:v>
      </x:c>
      <x:c r="U25" s="18" t="str">
        <x:v>宁德时代（江苏）新能源科技有限公司</x:v>
      </x:c>
      <x:c r="V25" s="18" t="str">
        <x:v>宁德时代（江苏）新能源科技有限公司.</x:v>
      </x:c>
      <x:c r="W25" s="18"/>
      <x:c r="X25" s="25"/>
      <x:c r="Y25" s="23"/>
      <x:c r="Z25" s="20" t="n">
        <x:v>1994</x:v>
      </x:c>
      <x:c r="AA25" s="21" t="n">
        <x:v>130</x:v>
      </x:c>
      <x:c r="AB25" s="21" t="n">
        <x:v>6.3</x:v>
      </x:c>
      <x:c r="AC25" s="23" t="str">
        <x:v>历史批次已有同型号</x:v>
      </x:c>
      <x:c r="AD25" s="18" t="str">
        <x:v>https://www.miit.gov.cn/datainfo/dljdclscqyjcpgg/xcpgs411sdwdw3/art/2026/art_edf3afae53a543eb9bfd581dc4eb1514.html</x:v>
      </x:c>
      <x:c r="AE25" s="18" t="str">
        <x:v>电机功率</x:v>
      </x:c>
    </x:row>
    <x:row r="26">
      <x:c r="A26" s="22" t="n">
        <x:v>411</x:v>
      </x:c>
      <x:c r="B26" s="23" t="str">
        <x:v>正式公告</x:v>
      </x:c>
      <x:c r="C26" s="23" t="str">
        <x:v>插电混动(PHEV)</x:v>
      </x:c>
      <x:c r="D26" s="23" t="str">
        <x:v>否</x:v>
      </x:c>
      <x:c r="E26" s="18" t="str">
        <x:v>中国第一汽车集团有限公司</x:v>
      </x:c>
      <x:c r="F26" s="18" t="str">
        <x:v>红旗牌</x:v>
      </x:c>
      <x:c r="G26" s="18" t="str">
        <x:v>红旗HS7</x:v>
      </x:c>
      <x:c r="H26" s="18" t="str">
        <x:v>CA6500HA6PHEVTXA</x:v>
      </x:c>
      <x:c r="I26" s="18" t="str">
        <x:v>插电式混合动力多用途乘用车</x:v>
      </x:c>
      <x:c r="J26" s="20" t="n">
        <x:v>5045</x:v>
      </x:c>
      <x:c r="K26" s="20" t="n">
        <x:v>1970</x:v>
      </x:c>
      <x:c r="L26" s="20" t="n">
        <x:v>1780</x:v>
      </x:c>
      <x:c r="M26" s="20" t="n">
        <x:v>2950</x:v>
      </x:c>
      <x:c r="N26" s="20" t="n">
        <x:v>2470</x:v>
      </x:c>
      <x:c r="O26" s="20" t="n">
        <x:v>3055</x:v>
      </x:c>
      <x:c r="P26" s="24" t="n">
        <x:v>190</x:v>
      </x:c>
      <x:c r="Q26" s="18" t="str">
        <x:v>6,7</x:v>
      </x:c>
      <x:c r="R26" s="24" t="n">
        <x:v>186</x:v>
      </x:c>
      <x:c r="S26" s="25" t="n">
        <x:v>39.5</x:v>
      </x:c>
      <x:c r="T26" s="18" t="str">
        <x:v>磷酸铁锂蓄电池</x:v>
      </x:c>
      <x:c r="U26" s="18" t="str">
        <x:v>中汽新能（无锡） 电池科技有限公司</x:v>
      </x:c>
      <x:c r="V26" s="18" t="str">
        <x:v>中国第一汽车集团有限公司</x:v>
      </x:c>
      <x:c r="W26" s="18"/>
      <x:c r="X26" s="25"/>
      <x:c r="Y26" s="23"/>
      <x:c r="Z26" s="20" t="n">
        <x:v>1994</x:v>
      </x:c>
      <x:c r="AA26" s="21" t="n">
        <x:v>130</x:v>
      </x:c>
      <x:c r="AB26" s="21" t="n">
        <x:v>6.28</x:v>
      </x:c>
      <x:c r="AC26" s="23" t="str">
        <x:v>历史批次已有同型号</x:v>
      </x:c>
      <x:c r="AD26" s="18" t="str">
        <x:v>https://www.miit.gov.cn/datainfo/dljdclscqyjcpgg/xcpgs411sdwdw3/art/2026/art_174f9552c032426ca588153e657422a5.html</x:v>
      </x:c>
      <x:c r="AE26" s="18" t="str">
        <x:v>电机功率</x:v>
      </x:c>
    </x:row>
    <x:row r="27">
      <x:c r="A27" s="22" t="n">
        <x:v>411</x:v>
      </x:c>
      <x:c r="B27" s="23" t="str">
        <x:v>正式公告</x:v>
      </x:c>
      <x:c r="C27" s="23" t="str">
        <x:v>插电混动(PHEV)</x:v>
      </x:c>
      <x:c r="D27" s="23" t="str">
        <x:v>否</x:v>
      </x:c>
      <x:c r="E27" s="18" t="str">
        <x:v>中国第一汽车集团有限公司</x:v>
      </x:c>
      <x:c r="F27" s="18" t="str">
        <x:v>红旗牌</x:v>
      </x:c>
      <x:c r="G27" s="18" t="str">
        <x:v>红旗HS7</x:v>
      </x:c>
      <x:c r="H27" s="18" t="str">
        <x:v>CA6500HA6PHEVTA</x:v>
      </x:c>
      <x:c r="I27" s="18" t="str">
        <x:v>插电式混合动力多用途乘用车</x:v>
      </x:c>
      <x:c r="J27" s="20" t="n">
        <x:v>5045</x:v>
      </x:c>
      <x:c r="K27" s="20" t="n">
        <x:v>1970</x:v>
      </x:c>
      <x:c r="L27" s="20" t="n">
        <x:v>1780</x:v>
      </x:c>
      <x:c r="M27" s="20" t="n">
        <x:v>2950</x:v>
      </x:c>
      <x:c r="N27" s="20" t="n">
        <x:v>2370</x:v>
      </x:c>
      <x:c r="O27" s="20" t="n">
        <x:v>2955</x:v>
      </x:c>
      <x:c r="P27" s="24" t="n">
        <x:v>190</x:v>
      </x:c>
      <x:c r="Q27" s="18" t="str">
        <x:v>6,7</x:v>
      </x:c>
      <x:c r="R27" s="24" t="n">
        <x:v>192</x:v>
      </x:c>
      <x:c r="S27" s="25" t="n">
        <x:v>39.5</x:v>
      </x:c>
      <x:c r="T27" s="18" t="str">
        <x:v>磷酸铁锂蓄电池</x:v>
      </x:c>
      <x:c r="U27" s="18" t="str">
        <x:v>中汽新能（无锡） 电池科技有限公司</x:v>
      </x:c>
      <x:c r="V27" s="18" t="str">
        <x:v>中国第一汽车集团有限公司</x:v>
      </x:c>
      <x:c r="W27" s="18"/>
      <x:c r="X27" s="25"/>
      <x:c r="Y27" s="23"/>
      <x:c r="Z27" s="20" t="n">
        <x:v>1994</x:v>
      </x:c>
      <x:c r="AA27" s="21" t="n">
        <x:v>130</x:v>
      </x:c>
      <x:c r="AB27" s="21" t="n">
        <x:v>6.18</x:v>
      </x:c>
      <x:c r="AC27" s="23" t="str">
        <x:v>历史批次已有同型号</x:v>
      </x:c>
      <x:c r="AD27" s="18" t="str">
        <x:v>https://www.miit.gov.cn/datainfo/dljdclscqyjcpgg/xcpgs411sdwdw3/art/2026/art_95c4085631af4e5da752412dc128d017.html</x:v>
      </x:c>
      <x:c r="AE27" s="18" t="str">
        <x:v>电机功率</x:v>
      </x:c>
    </x:row>
    <x:row r="28">
      <x:c r="A28" s="22" t="n">
        <x:v>411</x:v>
      </x:c>
      <x:c r="B28" s="23" t="str">
        <x:v>正式公告</x:v>
      </x:c>
      <x:c r="C28" s="23" t="str">
        <x:v>插电混动(PHEV)</x:v>
      </x:c>
      <x:c r="D28" s="23" t="str">
        <x:v>否</x:v>
      </x:c>
      <x:c r="E28" s="18" t="str">
        <x:v>比亚迪汽车有限公司</x:v>
      </x:c>
      <x:c r="F28" s="18" t="str">
        <x:v>方程豹牌</x:v>
      </x:c>
      <x:c r="G28" s="18" t="str">
        <x:v>方程豹钛9</x:v>
      </x:c>
      <x:c r="H28" s="18" t="str">
        <x:v>QCJ6530BE6HEV2</x:v>
      </x:c>
      <x:c r="I28" s="18" t="str">
        <x:v>插电式混合动力多用途乘用车</x:v>
      </x:c>
      <x:c r="J28" s="20" t="n">
        <x:v>5270</x:v>
      </x:c>
      <x:c r="K28" s="20" t="n">
        <x:v>1999</x:v>
      </x:c>
      <x:c r="L28" s="20" t="n">
        <x:v>1850</x:v>
      </x:c>
      <x:c r="M28" s="20" t="n">
        <x:v>3130</x:v>
      </x:c>
      <x:c r="N28" s="20" t="n">
        <x:v>2865</x:v>
      </x:c>
      <x:c r="O28" s="20" t="n">
        <x:v>3495</x:v>
      </x:c>
      <x:c r="P28" s="24" t="n">
        <x:v>200</x:v>
      </x:c>
      <x:c r="Q28" s="18" t="str">
        <x:v>6</x:v>
      </x:c>
      <x:c r="R28" s="24" t="n">
        <x:v>310</x:v>
      </x:c>
      <x:c r="S28" s="25" t="n">
        <x:v>66.48</x:v>
      </x:c>
      <x:c r="T28" s="18" t="str">
        <x:v>磷酸铁锂蓄电池</x:v>
      </x:c>
      <x:c r="U28" s="18"/>
      <x:c r="V28" s="18"/>
      <x:c r="W28" s="18" t="str">
        <x:v>200/200</x:v>
      </x:c>
      <x:c r="X28" s="25" t="n">
        <x:v>400</x:v>
      </x:c>
      <x:c r="Y28" s="23" t="str">
        <x:v>双电机</x:v>
      </x:c>
      <x:c r="Z28" s="20" t="n">
        <x:v>1498</x:v>
      </x:c>
      <x:c r="AA28" s="21" t="n">
        <x:v>115</x:v>
      </x:c>
      <x:c r="AB28" s="21" t="n">
        <x:v>6.4</x:v>
      </x:c>
      <x:c r="AC28" s="23" t="str">
        <x:v>历史批次已有同型号</x:v>
      </x:c>
      <x:c r="AD28" s="18" t="str">
        <x:v>https://www.miit.gov.cn/datainfo/dljdclscqyjcpgg/xcpgs411sdwdw3/art/2026/art_53965381e52f4a80a1ac33c371dac384.html</x:v>
      </x:c>
      <x:c r="AE28" s="18" t="str"/>
    </x:row>
    <x:row r="29">
      <x:c r="A29" s="22" t="n">
        <x:v>411</x:v>
      </x:c>
      <x:c r="B29" s="23" t="str">
        <x:v>正式公告</x:v>
      </x:c>
      <x:c r="C29" s="23" t="str">
        <x:v>插电混动(PHEV)</x:v>
      </x:c>
      <x:c r="D29" s="23" t="str">
        <x:v>否</x:v>
      </x:c>
      <x:c r="E29" s="18" t="str">
        <x:v>长城汽车股份有限公司</x:v>
      </x:c>
      <x:c r="F29" s="18" t="str">
        <x:v>长城牌</x:v>
      </x:c>
      <x:c r="G29" s="18" t="str">
        <x:v>坦克700</x:v>
      </x:c>
      <x:c r="H29" s="18" t="str">
        <x:v>CC2040BV23CPHEV</x:v>
      </x:c>
      <x:c r="I29" s="18" t="str">
        <x:v>插电式混合动力越野乘用车</x:v>
      </x:c>
      <x:c r="J29" s="20" t="n">
        <x:v>5445</x:v>
      </x:c>
      <x:c r="K29" s="20" t="n">
        <x:v>2126</x:v>
      </x:c>
      <x:c r="L29" s="20" t="n">
        <x:v>2021</x:v>
      </x:c>
      <x:c r="M29" s="20" t="n">
        <x:v>3150</x:v>
      </x:c>
      <x:c r="N29" s="20" t="n">
        <x:v>3395</x:v>
      </x:c>
      <x:c r="O29" s="20" t="n">
        <x:v>3895</x:v>
      </x:c>
      <x:c r="P29" s="24" t="n">
        <x:v>190</x:v>
      </x:c>
      <x:c r="Q29" s="18" t="str">
        <x:v>6</x:v>
      </x:c>
      <x:c r="R29" s="24" t="n">
        <x:v>190</x:v>
      </x:c>
      <x:c r="S29" s="25" t="n">
        <x:v>59.05</x:v>
      </x:c>
      <x:c r="T29" s="18" t="str">
        <x:v>镍钴锰三元锂蓄电池</x:v>
      </x:c>
      <x:c r="U29" s="18"/>
      <x:c r="V29" s="18"/>
      <x:c r="W29" s="18"/>
      <x:c r="X29" s="25"/>
      <x:c r="Y29" s="23"/>
      <x:c r="Z29" s="20" t="n">
        <x:v>1998</x:v>
      </x:c>
      <x:c r="AA29" s="21" t="n">
        <x:v>185</x:v>
      </x:c>
      <x:c r="AB29" s="21" t="n">
        <x:v>8.45</x:v>
      </x:c>
      <x:c r="AC29" s="23" t="str">
        <x:v>历史批次已有同型号</x:v>
      </x:c>
      <x:c r="AD29" s="18" t="str">
        <x:v>https://www.miit.gov.cn/datainfo/dljdclscqyjcpgg/xcpgs411sdwdw3/art/2026/art_8e60066435294454999a50a8c7e3e8e3.html</x:v>
      </x:c>
      <x:c r="AE29" s="18" t="str">
        <x:v>电机功率</x:v>
      </x:c>
    </x:row>
    <x:row r="30">
      <x:c r="A30" s="22" t="n">
        <x:v>411</x:v>
      </x:c>
      <x:c r="B30" s="23" t="str">
        <x:v>正式公告</x:v>
      </x:c>
      <x:c r="C30" s="23" t="str">
        <x:v>插电混动(PHEV)</x:v>
      </x:c>
      <x:c r="D30" s="23" t="str">
        <x:v>否</x:v>
      </x:c>
      <x:c r="E30" s="18" t="str">
        <x:v>长城汽车股份有限公司</x:v>
      </x:c>
      <x:c r="F30" s="18" t="str">
        <x:v>魏牌牌</x:v>
      </x:c>
      <x:c r="G30" s="18" t="str">
        <x:v>蓝山</x:v>
      </x:c>
      <x:c r="H30" s="18" t="str">
        <x:v>CC6511DQ22CPHEV</x:v>
      </x:c>
      <x:c r="I30" s="18" t="str">
        <x:v>插电式混合动力多用途乘用车</x:v>
      </x:c>
      <x:c r="J30" s="20" t="n">
        <x:v>5140</x:v>
      </x:c>
      <x:c r="K30" s="20" t="n">
        <x:v>2050</x:v>
      </x:c>
      <x:c r="L30" s="20" t="n">
        <x:v>1960</x:v>
      </x:c>
      <x:c r="M30" s="20" t="n">
        <x:v>3010</x:v>
      </x:c>
      <x:c r="N30" s="20" t="n">
        <x:v>2790</x:v>
      </x:c>
      <x:c r="O30" s="20" t="n">
        <x:v>3215</x:v>
      </x:c>
      <x:c r="P30" s="24" t="n">
        <x:v>210</x:v>
      </x:c>
      <x:c r="Q30" s="18" t="str">
        <x:v>5</x:v>
      </x:c>
      <x:c r="R30" s="24" t="n">
        <x:v>270</x:v>
      </x:c>
      <x:c r="S30" s="25" t="n">
        <x:v>64.7</x:v>
      </x:c>
      <x:c r="T30" s="18" t="str">
        <x:v>镍钴锰三元锂蓄电池</x:v>
      </x:c>
      <x:c r="U30" s="18" t="str">
        <x:v>蜂巢能源科技股份有限公司,蜂巢能源科技(湖州)有限公司</x:v>
      </x:c>
      <x:c r="V30" s="18"/>
      <x:c r="W30" s="18"/>
      <x:c r="X30" s="25"/>
      <x:c r="Y30" s="23"/>
      <x:c r="Z30" s="20" t="n">
        <x:v>1998</x:v>
      </x:c>
      <x:c r="AA30" s="21" t="n">
        <x:v>182</x:v>
      </x:c>
      <x:c r="AB30" s="21" t="n">
        <x:v>6.9</x:v>
      </x:c>
      <x:c r="AC30" s="23" t="str">
        <x:v>历史批次已有同型号</x:v>
      </x:c>
      <x:c r="AD30" s="18" t="str">
        <x:v>https://www.miit.gov.cn/datainfo/dljdclscqyjcpgg/xcpgs411sdwdw3/art/2026/art_e8fe9c0ef3804fa39abfd344eec73556.html</x:v>
      </x:c>
      <x:c r="AE30" s="18" t="str">
        <x:v>电机功率</x:v>
      </x:c>
    </x:row>
    <x:row r="31">
      <x:c r="A31" s="22" t="n">
        <x:v>411</x:v>
      </x:c>
      <x:c r="B31" s="23" t="str">
        <x:v>正式公告</x:v>
      </x:c>
      <x:c r="C31" s="23" t="str">
        <x:v>插电混动(PHEV)</x:v>
      </x:c>
      <x:c r="D31" s="23" t="str">
        <x:v>否</x:v>
      </x:c>
      <x:c r="E31" s="18" t="str">
        <x:v>长城汽车股份有限公司</x:v>
      </x:c>
      <x:c r="F31" s="18" t="str">
        <x:v>魏牌牌</x:v>
      </x:c>
      <x:c r="G31" s="18" t="str">
        <x:v>蓝山</x:v>
      </x:c>
      <x:c r="H31" s="18" t="str">
        <x:v>CC6531DQ22APHEV</x:v>
      </x:c>
      <x:c r="I31" s="18" t="str">
        <x:v>插电式混合动力多用途乘用车</x:v>
      </x:c>
      <x:c r="J31" s="20" t="n">
        <x:v>5300</x:v>
      </x:c>
      <x:c r="K31" s="20" t="n">
        <x:v>2050</x:v>
      </x:c>
      <x:c r="L31" s="20" t="n">
        <x:v>1960</x:v>
      </x:c>
      <x:c r="M31" s="20" t="n">
        <x:v>3010</x:v>
      </x:c>
      <x:c r="N31" s="20" t="n">
        <x:v>2725</x:v>
      </x:c>
      <x:c r="O31" s="20" t="n">
        <x:v>3225</x:v>
      </x:c>
      <x:c r="P31" s="24" t="n">
        <x:v>205</x:v>
      </x:c>
      <x:c r="Q31" s="18" t="str">
        <x:v>6</x:v>
      </x:c>
      <x:c r="R31" s="24" t="n">
        <x:v>220</x:v>
      </x:c>
      <x:c r="S31" s="25" t="n">
        <x:v>53.6</x:v>
      </x:c>
      <x:c r="T31" s="18" t="str">
        <x:v>镍钴锰三元锂蓄电池</x:v>
      </x:c>
      <x:c r="U31" s="18" t="str">
        <x:v>蜂巢能源科技股份有限公司,蜂巢能源科技(遂宁)有限公司</x:v>
      </x:c>
      <x:c r="V31" s="18"/>
      <x:c r="W31" s="18"/>
      <x:c r="X31" s="25"/>
      <x:c r="Y31" s="23"/>
      <x:c r="Z31" s="20" t="n">
        <x:v>1998</x:v>
      </x:c>
      <x:c r="AA31" s="21" t="n">
        <x:v>182</x:v>
      </x:c>
      <x:c r="AB31" s="21" t="n">
        <x:v>6.8</x:v>
      </x:c>
      <x:c r="AC31" s="23" t="str">
        <x:v>历史批次已有同型号</x:v>
      </x:c>
      <x:c r="AD31" s="18" t="str">
        <x:v>https://www.miit.gov.cn/datainfo/dljdclscqyjcpgg/xcpgs411sdwdw3/art/2026/art_61d023d1159249558f03baa00cd4aaf5.html</x:v>
      </x:c>
      <x:c r="AE31" s="18" t="str">
        <x:v>电机功率</x:v>
      </x:c>
    </x:row>
    <x:row r="32">
      <x:c r="A32" s="22" t="n">
        <x:v>411</x:v>
      </x:c>
      <x:c r="B32" s="23" t="str">
        <x:v>正式公告</x:v>
      </x:c>
      <x:c r="C32" s="23" t="str">
        <x:v>插电混动(PHEV)</x:v>
      </x:c>
      <x:c r="D32" s="23" t="str">
        <x:v>否</x:v>
      </x:c>
      <x:c r="E32" s="18" t="str">
        <x:v>长城汽车股份有限公司</x:v>
      </x:c>
      <x:c r="F32" s="18" t="str">
        <x:v>魏牌牌</x:v>
      </x:c>
      <x:c r="G32" s="18" t="str">
        <x:v>蓝山</x:v>
      </x:c>
      <x:c r="H32" s="18" t="str">
        <x:v>CC6531DQ22CPHEV</x:v>
      </x:c>
      <x:c r="I32" s="18" t="str">
        <x:v>插电式混合动力多用途乘用车</x:v>
      </x:c>
      <x:c r="J32" s="20" t="n">
        <x:v>5300</x:v>
      </x:c>
      <x:c r="K32" s="20" t="n">
        <x:v>2050</x:v>
      </x:c>
      <x:c r="L32" s="20" t="n">
        <x:v>1960</x:v>
      </x:c>
      <x:c r="M32" s="20" t="n">
        <x:v>3010</x:v>
      </x:c>
      <x:c r="N32" s="20" t="n">
        <x:v>2870</x:v>
      </x:c>
      <x:c r="O32" s="20" t="n">
        <x:v>3370</x:v>
      </x:c>
      <x:c r="P32" s="24" t="n">
        <x:v>210</x:v>
      </x:c>
      <x:c r="Q32" s="18" t="str">
        <x:v>6</x:v>
      </x:c>
      <x:c r="R32" s="24" t="n">
        <x:v>270</x:v>
      </x:c>
      <x:c r="S32" s="25" t="n">
        <x:v>64.7</x:v>
      </x:c>
      <x:c r="T32" s="18" t="str">
        <x:v>镍钴锰三元锂蓄电池</x:v>
      </x:c>
      <x:c r="U32" s="18" t="str">
        <x:v>蜂巢能源科技股份有限公司,蜂巢能源科技(湖州)有限公司</x:v>
      </x:c>
      <x:c r="V32" s="18"/>
      <x:c r="W32" s="18"/>
      <x:c r="X32" s="25"/>
      <x:c r="Y32" s="23"/>
      <x:c r="Z32" s="20" t="n">
        <x:v>1998</x:v>
      </x:c>
      <x:c r="AA32" s="21" t="n">
        <x:v>182</x:v>
      </x:c>
      <x:c r="AB32" s="21" t="n">
        <x:v>6.9</x:v>
      </x:c>
      <x:c r="AC32" s="23" t="str">
        <x:v>历史批次已有同型号</x:v>
      </x:c>
      <x:c r="AD32" s="18" t="str">
        <x:v>https://www.miit.gov.cn/datainfo/dljdclscqyjcpgg/xcpgs411sdwdw3/art/2026/art_777726ff5a4c497c9c3c77db275db6da.html</x:v>
      </x:c>
      <x:c r="AE32" s="18" t="str">
        <x:v>电机功率</x:v>
      </x:c>
    </x:row>
    <x:row r="33">
      <x:c r="A33" s="22" t="n">
        <x:v>411</x:v>
      </x:c>
      <x:c r="B33" s="23" t="str">
        <x:v>正式公告</x:v>
      </x:c>
      <x:c r="C33" s="23" t="str">
        <x:v>插电混动(PHEV)</x:v>
      </x:c>
      <x:c r="D33" s="23" t="str">
        <x:v>否</x:v>
      </x:c>
      <x:c r="E33" s="18" t="str">
        <x:v>长城汽车股份有限公司</x:v>
      </x:c>
      <x:c r="F33" s="18" t="str">
        <x:v>魏牌牌</x:v>
      </x:c>
      <x:c r="G33" s="18" t="str">
        <x:v>蓝山</x:v>
      </x:c>
      <x:c r="H33" s="18" t="str">
        <x:v>CC6511DQ22APHEV</x:v>
      </x:c>
      <x:c r="I33" s="18" t="str">
        <x:v>插电式混合动力多用途乘用车</x:v>
      </x:c>
      <x:c r="J33" s="20" t="n">
        <x:v>5140</x:v>
      </x:c>
      <x:c r="K33" s="20" t="n">
        <x:v>2050</x:v>
      </x:c>
      <x:c r="L33" s="20" t="n">
        <x:v>1960</x:v>
      </x:c>
      <x:c r="M33" s="20" t="n">
        <x:v>3010</x:v>
      </x:c>
      <x:c r="N33" s="20" t="n">
        <x:v>2640</x:v>
      </x:c>
      <x:c r="O33" s="20" t="n">
        <x:v>3065</x:v>
      </x:c>
      <x:c r="P33" s="24" t="n">
        <x:v>205</x:v>
      </x:c>
      <x:c r="Q33" s="18" t="str">
        <x:v>5</x:v>
      </x:c>
      <x:c r="R33" s="24" t="n">
        <x:v>220</x:v>
      </x:c>
      <x:c r="S33" s="25" t="n">
        <x:v>53.6</x:v>
      </x:c>
      <x:c r="T33" s="18" t="str">
        <x:v>镍钴锰三元锂蓄电池</x:v>
      </x:c>
      <x:c r="U33" s="18" t="str">
        <x:v>蜂巢能源科技股份有限公司,蜂巢能源科技(遂宁)有限公司</x:v>
      </x:c>
      <x:c r="V33" s="18"/>
      <x:c r="W33" s="18"/>
      <x:c r="X33" s="25"/>
      <x:c r="Y33" s="23"/>
      <x:c r="Z33" s="20" t="n">
        <x:v>1998</x:v>
      </x:c>
      <x:c r="AA33" s="21" t="n">
        <x:v>182</x:v>
      </x:c>
      <x:c r="AB33" s="21" t="n">
        <x:v>6.8</x:v>
      </x:c>
      <x:c r="AC33" s="23" t="str">
        <x:v>历史批次已有同型号</x:v>
      </x:c>
      <x:c r="AD33" s="18" t="str">
        <x:v>https://www.miit.gov.cn/datainfo/dljdclscqyjcpgg/xcpgs411sdwdw3/art/2026/art_8489903da89d4b768079edce3add0a07.html</x:v>
      </x:c>
      <x:c r="AE33" s="18" t="str">
        <x:v>电机功率</x:v>
      </x:c>
    </x:row>
    <x:row r="34">
      <x:c r="A34" s="22" t="n">
        <x:v>411</x:v>
      </x:c>
      <x:c r="B34" s="23" t="str">
        <x:v>正式公告</x:v>
      </x:c>
      <x:c r="C34" s="23" t="str">
        <x:v>增程(EREV)</x:v>
      </x:c>
      <x:c r="D34" s="23" t="str">
        <x:v>是</x:v>
      </x:c>
      <x:c r="E34" s="18" t="str">
        <x:v>奇瑞新能源汽车股份有限公司</x:v>
      </x:c>
      <x:c r="F34" s="18" t="str">
        <x:v>爱咖牌</x:v>
      </x:c>
      <x:c r="G34" s="18" t="str">
        <x:v>V25,V25S</x:v>
      </x:c>
      <x:c r="H34" s="18" t="str">
        <x:v>NEQ6460REEVS59DD</x:v>
      </x:c>
      <x:c r="I34" s="18" t="str">
        <x:v>插电式增程混合动力多用途乘用车</x:v>
      </x:c>
      <x:c r="J34" s="20" t="n">
        <x:v>4636</x:v>
      </x:c>
      <x:c r="K34" s="20" t="n">
        <x:v>1920</x:v>
      </x:c>
      <x:c r="L34" s="20" t="n">
        <x:v>1855</x:v>
      </x:c>
      <x:c r="M34" s="20" t="n">
        <x:v>2820</x:v>
      </x:c>
      <x:c r="N34" s="20" t="n">
        <x:v>2221</x:v>
      </x:c>
      <x:c r="O34" s="20" t="n">
        <x:v>2720</x:v>
      </x:c>
      <x:c r="P34" s="24" t="n">
        <x:v>180</x:v>
      </x:c>
      <x:c r="Q34" s="18" t="str">
        <x:v>5</x:v>
      </x:c>
      <x:c r="R34" s="24" t="n">
        <x:v>145</x:v>
      </x:c>
      <x:c r="S34" s="25" t="n">
        <x:v>33.679</x:v>
      </x:c>
      <x:c r="T34" s="18" t="str">
        <x:v>磷酸铁锂蓄电池</x:v>
      </x:c>
      <x:c r="U34" s="18"/>
      <x:c r="V34" s="18"/>
      <x:c r="W34" s="18"/>
      <x:c r="X34" s="25"/>
      <x:c r="Y34" s="23"/>
      <x:c r="Z34" s="20" t="n">
        <x:v>1499</x:v>
      </x:c>
      <x:c r="AA34" s="21" t="n">
        <x:v>115</x:v>
      </x:c>
      <x:c r="AB34" s="21" t="n">
        <x:v>7.15</x:v>
      </x:c>
      <x:c r="AC34" s="23" t="str">
        <x:v>历史批次已有同型号</x:v>
      </x:c>
      <x:c r="AD34" s="18" t="str">
        <x:v>https://www.miit.gov.cn/datainfo/dljdclscqyjcpgg/xcpgs411sdwdw3/art/2026/art_641f591f4a28439598d964bad991afbd.html</x:v>
      </x:c>
      <x:c r="AE34" s="18" t="str">
        <x:v>电机功率</x:v>
      </x:c>
    </x:row>
    <x:row r="35">
      <x:c r="A35" s="22" t="n">
        <x:v>411</x:v>
      </x:c>
      <x:c r="B35" s="23" t="str">
        <x:v>正式公告</x:v>
      </x:c>
      <x:c r="C35" s="23" t="str">
        <x:v>增程(EREV)</x:v>
      </x:c>
      <x:c r="D35" s="23" t="str">
        <x:v>是</x:v>
      </x:c>
      <x:c r="E35" s="18" t="str">
        <x:v>北京理想汽车有限公司</x:v>
      </x:c>
      <x:c r="F35" s="18" t="str">
        <x:v>理想牌</x:v>
      </x:c>
      <x:c r="G35" s="18" t="str">
        <x:v>理想L9</x:v>
      </x:c>
      <x:c r="H35" s="18" t="str">
        <x:v>LXA6530REEVX12</x:v>
      </x:c>
      <x:c r="I35" s="18" t="str">
        <x:v>插电式增程混合动力多用途乘用车</x:v>
      </x:c>
      <x:c r="J35" s="20" t="n">
        <x:v>5255</x:v>
      </x:c>
      <x:c r="K35" s="20" t="n">
        <x:v>2000</x:v>
      </x:c>
      <x:c r="L35" s="20" t="n">
        <x:v>1810</x:v>
      </x:c>
      <x:c r="M35" s="20" t="n">
        <x:v>3125</x:v>
      </x:c>
      <x:c r="N35" s="20" t="n">
        <x:v>2755</x:v>
      </x:c>
      <x:c r="O35" s="20" t="n">
        <x:v>3435</x:v>
      </x:c>
      <x:c r="P35" s="24" t="n">
        <x:v>200</x:v>
      </x:c>
      <x:c r="Q35" s="18" t="str">
        <x:v>6</x:v>
      </x:c>
      <x:c r="R35" s="24" t="n">
        <x:v>340</x:v>
      </x:c>
      <x:c r="S35" s="25" t="n">
        <x:v>72.7</x:v>
      </x:c>
      <x:c r="T35" s="18" t="str">
        <x:v>三元锂离子电池</x:v>
      </x:c>
      <x:c r="U35" s="18" t="str">
        <x:v>欣旺达动力科技股份有限公司</x:v>
      </x:c>
      <x:c r="V35" s="18"/>
      <x:c r="W35" s="18"/>
      <x:c r="X35" s="25"/>
      <x:c r="Y35" s="23"/>
      <x:c r="Z35" s="20" t="n">
        <x:v>1498</x:v>
      </x:c>
      <x:c r="AA35" s="21" t="n">
        <x:v>115</x:v>
      </x:c>
      <x:c r="AB35" s="21" t="n">
        <x:v>6.3</x:v>
      </x:c>
      <x:c r="AC35" s="23" t="str">
        <x:v>历史批次已有同型号</x:v>
      </x:c>
      <x:c r="AD35" s="18" t="str">
        <x:v>https://www.miit.gov.cn/datainfo/dljdclscqyjcpgg/xcpgs411sdwdw3/art/2026/art_03d870d1976a4f7398d562a71b2b1e4d.html</x:v>
      </x:c>
      <x:c r="AE35" s="18" t="str">
        <x:v>电机功率</x:v>
      </x:c>
    </x:row>
    <x:row r="36">
      <x:c r="A36" s="22" t="n">
        <x:v>411</x:v>
      </x:c>
      <x:c r="B36" s="23" t="str">
        <x:v>正式公告</x:v>
      </x:c>
      <x:c r="C36" s="23" t="str">
        <x:v>增程(EREV)</x:v>
      </x:c>
      <x:c r="D36" s="23" t="str">
        <x:v>是</x:v>
      </x:c>
      <x:c r="E36" s="18" t="str">
        <x:v>北汽蓝谷麦格纳汽车有限公司</x:v>
      </x:c>
      <x:c r="F36" s="18"/>
      <x:c r="G36" s="18" t="str">
        <x:v>αT7</x:v>
      </x:c>
      <x:c r="H36" s="18" t="str">
        <x:v>BJ6500A602RSHEV</x:v>
      </x:c>
      <x:c r="I36" s="18" t="str">
        <x:v>插电式增程混合动力多用途乘用车</x:v>
      </x:c>
      <x:c r="J36" s="20"/>
      <x:c r="K36" s="20"/>
      <x:c r="L36" s="20"/>
      <x:c r="M36" s="20"/>
      <x:c r="N36" s="20" t="n">
        <x:v>2010</x:v>
      </x:c>
      <x:c r="O36" s="20"/>
      <x:c r="P36" s="24"/>
      <x:c r="Q36" s="18"/>
      <x:c r="R36" s="24" t="n">
        <x:v>232</x:v>
      </x:c>
      <x:c r="S36" s="25" t="n">
        <x:v>43.9</x:v>
      </x:c>
      <x:c r="T36" s="18"/>
      <x:c r="U36" s="18"/>
      <x:c r="V36" s="18"/>
      <x:c r="W36" s="18"/>
      <x:c r="X36" s="25"/>
      <x:c r="Y36" s="23"/>
      <x:c r="Z36" s="20" t="n">
        <x:v>1498</x:v>
      </x:c>
      <x:c r="AA36" s="21"/>
      <x:c r="AB36" s="21" t="n">
        <x:v>5.58</x:v>
      </x:c>
      <x:c r="AC36" s="23" t="str">
        <x:v>型号级新增</x:v>
      </x:c>
      <x:c r="AD36" s="18"/>
      <x:c r="AE36" s="18" t="str">
        <x:v>车长、电池类型、电机功率、发动机功率</x:v>
      </x:c>
    </x:row>
    <x:row r="37">
      <x:c r="A37" s="22" t="n">
        <x:v>411</x:v>
      </x:c>
      <x:c r="B37" s="23" t="str">
        <x:v>正式公告</x:v>
      </x:c>
      <x:c r="C37" s="23" t="str">
        <x:v>插电混动(PHEV)</x:v>
      </x:c>
      <x:c r="D37" s="23" t="str">
        <x:v>否</x:v>
      </x:c>
      <x:c r="E37" s="18" t="str">
        <x:v>浙江豪情汽车制造有限公司</x:v>
      </x:c>
      <x:c r="F37" s="18" t="str">
        <x:v>吉利牌</x:v>
      </x:c>
      <x:c r="G37" s="18" t="str">
        <x:v>银河星舰7</x:v>
      </x:c>
      <x:c r="H37" s="18" t="str">
        <x:v>HQ6472DCHEV110</x:v>
      </x:c>
      <x:c r="I37" s="18" t="str">
        <x:v>插电式混合动力运动型乘用车</x:v>
      </x:c>
      <x:c r="J37" s="20" t="n">
        <x:v>4730</x:v>
      </x:c>
      <x:c r="K37" s="20" t="n">
        <x:v>1905</x:v>
      </x:c>
      <x:c r="L37" s="20" t="n">
        <x:v>1675</x:v>
      </x:c>
      <x:c r="M37" s="20" t="n">
        <x:v>2752</x:v>
      </x:c>
      <x:c r="N37" s="20" t="n">
        <x:v>1930</x:v>
      </x:c>
      <x:c r="O37" s="20" t="n">
        <x:v>2350</x:v>
      </x:c>
      <x:c r="P37" s="24" t="n">
        <x:v>190</x:v>
      </x:c>
      <x:c r="Q37" s="18" t="str">
        <x:v>5</x:v>
      </x:c>
      <x:c r="R37" s="24" t="n">
        <x:v>215</x:v>
      </x:c>
      <x:c r="S37" s="25" t="n">
        <x:v>40.06</x:v>
      </x:c>
      <x:c r="T37" s="18" t="str">
        <x:v>磷酸铁锂电池</x:v>
      </x:c>
      <x:c r="U37" s="18" t="str">
        <x:v>宁德时代新能源科技股份有限公司,江苏时代新能源科技有限公司,中州时代新能源科技有限公司</x:v>
      </x:c>
      <x:c r="V37" s="18"/>
      <x:c r="W37" s="18"/>
      <x:c r="X37" s="25"/>
      <x:c r="Y37" s="23"/>
      <x:c r="Z37" s="20" t="n">
        <x:v>1499</x:v>
      </x:c>
      <x:c r="AA37" s="21" t="n">
        <x:v>82</x:v>
      </x:c>
      <x:c r="AB37" s="21" t="n">
        <x:v>4.95</x:v>
      </x:c>
      <x:c r="AC37" s="23" t="str">
        <x:v>历史批次已有同型号</x:v>
      </x:c>
      <x:c r="AD37" s="18" t="str">
        <x:v>https://www.miit.gov.cn/datainfo/dljdclscqyjcpgg/xcpgs411sdwdw3/art/2026/art_32c8c132a46f4b1084f19870fb922c67.html</x:v>
      </x:c>
      <x:c r="AE37" s="18" t="str">
        <x:v>电机功率</x:v>
      </x:c>
    </x:row>
    <x:row r="38">
      <x:c r="A38" s="22" t="n">
        <x:v>411</x:v>
      </x:c>
      <x:c r="B38" s="23" t="str">
        <x:v>正式公告</x:v>
      </x:c>
      <x:c r="C38" s="23" t="str">
        <x:v>插电混动(PHEV)</x:v>
      </x:c>
      <x:c r="D38" s="23" t="str">
        <x:v>否</x:v>
      </x:c>
      <x:c r="E38" s="18" t="str">
        <x:v>浙江豪情汽车制造有限公司</x:v>
      </x:c>
      <x:c r="F38" s="18" t="str">
        <x:v>吉利牌</x:v>
      </x:c>
      <x:c r="G38" s="18" t="str">
        <x:v>银河星舰7</x:v>
      </x:c>
      <x:c r="H38" s="18" t="str">
        <x:v>HQ6472DCHEV111</x:v>
      </x:c>
      <x:c r="I38" s="18" t="str">
        <x:v>插电式混合动力运动型乘用车</x:v>
      </x:c>
      <x:c r="J38" s="20" t="n">
        <x:v>4730</x:v>
      </x:c>
      <x:c r="K38" s="20" t="n">
        <x:v>1905</x:v>
      </x:c>
      <x:c r="L38" s="20" t="n">
        <x:v>1675</x:v>
      </x:c>
      <x:c r="M38" s="20" t="n">
        <x:v>2752</x:v>
      </x:c>
      <x:c r="N38" s="20" t="n">
        <x:v>1815</x:v>
      </x:c>
      <x:c r="O38" s="20" t="n">
        <x:v>2235</x:v>
      </x:c>
      <x:c r="P38" s="24" t="n">
        <x:v>190</x:v>
      </x:c>
      <x:c r="Q38" s="18" t="str">
        <x:v>5</x:v>
      </x:c>
      <x:c r="R38" s="24" t="n">
        <x:v>230</x:v>
      </x:c>
      <x:c r="S38" s="25" t="n">
        <x:v>40.06</x:v>
      </x:c>
      <x:c r="T38" s="18" t="str">
        <x:v>磷酸铁锂电池</x:v>
      </x:c>
      <x:c r="U38" s="18" t="str">
        <x:v>宁德时代新能源科技股份有限公司,江苏时代新能源科技有限公司,中州时代新能源科技有限公司</x:v>
      </x:c>
      <x:c r="V38" s="18"/>
      <x:c r="W38" s="18"/>
      <x:c r="X38" s="25"/>
      <x:c r="Y38" s="23"/>
      <x:c r="Z38" s="20" t="n">
        <x:v>1499</x:v>
      </x:c>
      <x:c r="AA38" s="21" t="n">
        <x:v>82</x:v>
      </x:c>
      <x:c r="AB38" s="21" t="n">
        <x:v>4.6</x:v>
      </x:c>
      <x:c r="AC38" s="23" t="str">
        <x:v>历史批次已有同型号</x:v>
      </x:c>
      <x:c r="AD38" s="18" t="str">
        <x:v>https://www.miit.gov.cn/datainfo/dljdclscqyjcpgg/xcpgs411sdwdw3/art/2026/art_3a2b7de0ec284fe094e9b48fdf4e8ec4.html</x:v>
      </x:c>
      <x:c r="AE38" s="18" t="str">
        <x:v>电机功率</x:v>
      </x:c>
    </x:row>
    <x:row r="39">
      <x:c r="A39" s="22" t="n">
        <x:v>411</x:v>
      </x:c>
      <x:c r="B39" s="23" t="str">
        <x:v>正式公告</x:v>
      </x:c>
      <x:c r="C39" s="23" t="str">
        <x:v>插电混动(PHEV)</x:v>
      </x:c>
      <x:c r="D39" s="23" t="str">
        <x:v>否</x:v>
      </x:c>
      <x:c r="E39" s="18" t="str">
        <x:v>浙江吉利汽车有限公司</x:v>
      </x:c>
      <x:c r="F39" s="18" t="str">
        <x:v>吉利牌</x:v>
      </x:c>
      <x:c r="G39" s="18" t="str">
        <x:v>银河A7</x:v>
      </x:c>
      <x:c r="H39" s="18" t="str">
        <x:v>MR7151DCHEV131</x:v>
      </x:c>
      <x:c r="I39" s="18" t="str">
        <x:v>插电式混合动力轿车</x:v>
      </x:c>
      <x:c r="J39" s="20" t="n">
        <x:v>4932</x:v>
      </x:c>
      <x:c r="K39" s="20" t="n">
        <x:v>1905</x:v>
      </x:c>
      <x:c r="L39" s="20" t="n">
        <x:v>1495</x:v>
      </x:c>
      <x:c r="M39" s="20" t="n">
        <x:v>2845</x:v>
      </x:c>
      <x:c r="N39" s="20" t="n">
        <x:v>1705</x:v>
      </x:c>
      <x:c r="O39" s="20" t="n">
        <x:v>2170</x:v>
      </x:c>
      <x:c r="P39" s="24" t="n">
        <x:v>205</x:v>
      </x:c>
      <x:c r="Q39" s="18" t="str">
        <x:v>5</x:v>
      </x:c>
      <x:c r="R39" s="24" t="n">
        <x:v>202</x:v>
      </x:c>
      <x:c r="S39" s="25" t="n">
        <x:v>29.37</x:v>
      </x:c>
      <x:c r="T39" s="18" t="str">
        <x:v>磷酸铁锂电池</x:v>
      </x:c>
      <x:c r="U39" s="18" t="str">
        <x:v>中创新航科技集团股份有限公司</x:v>
      </x:c>
      <x:c r="V39" s="18"/>
      <x:c r="W39" s="18"/>
      <x:c r="X39" s="25"/>
      <x:c r="Y39" s="23"/>
      <x:c r="Z39" s="20" t="n">
        <x:v>1499</x:v>
      </x:c>
      <x:c r="AA39" s="21" t="n">
        <x:v>82</x:v>
      </x:c>
      <x:c r="AB39" s="21" t="n">
        <x:v>3.58</x:v>
      </x:c>
      <x:c r="AC39" s="23" t="str">
        <x:v>历史批次已有同型号</x:v>
      </x:c>
      <x:c r="AD39" s="18" t="str">
        <x:v>https://www.miit.gov.cn/datainfo/dljdclscqyjcpgg/xcpgs411sdwdw3/art/2026/art_b7f62acd616d403a804ac1ef135a1755.html</x:v>
      </x:c>
      <x:c r="AE39" s="18" t="str">
        <x:v>电机功率</x:v>
      </x:c>
    </x:row>
    <x:row r="40">
      <x:c r="A40" s="22" t="n">
        <x:v>411</x:v>
      </x:c>
      <x:c r="B40" s="23" t="str">
        <x:v>正式公告</x:v>
      </x:c>
      <x:c r="C40" s="23" t="str">
        <x:v>插电混动(PHEV)</x:v>
      </x:c>
      <x:c r="D40" s="23" t="str">
        <x:v>否</x:v>
      </x:c>
      <x:c r="E40" s="18" t="str">
        <x:v>浙江吉利汽车有限公司</x:v>
      </x:c>
      <x:c r="F40" s="18" t="str">
        <x:v>吉利牌</x:v>
      </x:c>
      <x:c r="G40" s="18" t="str">
        <x:v>银河M8</x:v>
      </x:c>
      <x:c r="H40" s="18" t="str">
        <x:v>MR6521DCHEV116</x:v>
      </x:c>
      <x:c r="I40" s="18" t="str">
        <x:v>插电式混合动力多用途乘用车</x:v>
      </x:c>
      <x:c r="J40" s="20" t="n">
        <x:v>5205</x:v>
      </x:c>
      <x:c r="K40" s="20" t="n">
        <x:v>1999</x:v>
      </x:c>
      <x:c r="L40" s="20" t="n">
        <x:v>1800</x:v>
      </x:c>
      <x:c r="M40" s="20" t="n">
        <x:v>3030</x:v>
      </x:c>
      <x:c r="N40" s="20" t="n">
        <x:v>2620</x:v>
      </x:c>
      <x:c r="O40" s="20" t="n">
        <x:v>3120</x:v>
      </x:c>
      <x:c r="P40" s="24" t="n">
        <x:v>210</x:v>
      </x:c>
      <x:c r="Q40" s="18" t="str">
        <x:v>5</x:v>
      </x:c>
      <x:c r="R40" s="24" t="n">
        <x:v>231</x:v>
      </x:c>
      <x:c r="S40" s="25" t="n">
        <x:v>53.42</x:v>
      </x:c>
      <x:c r="T40" s="18" t="str">
        <x:v>磷酸铁锂蓄电池</x:v>
      </x:c>
      <x:c r="U40" s="18"/>
      <x:c r="V40" s="18"/>
      <x:c r="W40" s="18"/>
      <x:c r="X40" s="25"/>
      <x:c r="Y40" s="23"/>
      <x:c r="Z40" s="20" t="n">
        <x:v>1499</x:v>
      </x:c>
      <x:c r="AA40" s="21" t="n">
        <x:v>120</x:v>
      </x:c>
      <x:c r="AB40" s="21" t="n">
        <x:v>6.56</x:v>
      </x:c>
      <x:c r="AC40" s="23" t="str">
        <x:v>历史批次已有同型号</x:v>
      </x:c>
      <x:c r="AD40" s="18" t="str">
        <x:v>https://www.miit.gov.cn/datainfo/dljdclscqyjcpgg/xcpgs411sdwdw3/art/2026/art_3c30b3e1925f41118ebe3903734037dc.html</x:v>
      </x:c>
      <x:c r="AE40" s="18" t="str">
        <x:v>电机功率</x:v>
      </x:c>
    </x:row>
    <x:row r="41">
      <x:c r="A41" s="22" t="n">
        <x:v>411</x:v>
      </x:c>
      <x:c r="B41" s="23" t="str">
        <x:v>正式公告</x:v>
      </x:c>
      <x:c r="C41" s="23" t="str">
        <x:v>插电混动(PHEV)</x:v>
      </x:c>
      <x:c r="D41" s="23" t="str">
        <x:v>否</x:v>
      </x:c>
      <x:c r="E41" s="18" t="str">
        <x:v>浙江吉利汽车有限公司</x:v>
      </x:c>
      <x:c r="F41" s="18" t="str">
        <x:v>吉利牌</x:v>
      </x:c>
      <x:c r="G41" s="18" t="str">
        <x:v>银河M8</x:v>
      </x:c>
      <x:c r="H41" s="18" t="str">
        <x:v>MR6521DCHEV117</x:v>
      </x:c>
      <x:c r="I41" s="18" t="str">
        <x:v>插电式混合动力多用途乘用车</x:v>
      </x:c>
      <x:c r="J41" s="20" t="n">
        <x:v>5205</x:v>
      </x:c>
      <x:c r="K41" s="20" t="n">
        <x:v>1999</x:v>
      </x:c>
      <x:c r="L41" s="20" t="n">
        <x:v>1800</x:v>
      </x:c>
      <x:c r="M41" s="20" t="n">
        <x:v>3030</x:v>
      </x:c>
      <x:c r="N41" s="20" t="n">
        <x:v>2470</x:v>
      </x:c>
      <x:c r="O41" s="20" t="n">
        <x:v>2970</x:v>
      </x:c>
      <x:c r="P41" s="24" t="n">
        <x:v>200</x:v>
      </x:c>
      <x:c r="Q41" s="18" t="str">
        <x:v>5</x:v>
      </x:c>
      <x:c r="R41" s="24" t="n">
        <x:v>251</x:v>
      </x:c>
      <x:c r="S41" s="25" t="n">
        <x:v>53.42</x:v>
      </x:c>
      <x:c r="T41" s="18" t="str">
        <x:v>磷酸铁锂蓄电池</x:v>
      </x:c>
      <x:c r="U41" s="18"/>
      <x:c r="V41" s="18"/>
      <x:c r="W41" s="18"/>
      <x:c r="X41" s="25"/>
      <x:c r="Y41" s="23"/>
      <x:c r="Z41" s="20" t="n">
        <x:v>1499</x:v>
      </x:c>
      <x:c r="AA41" s="21" t="n">
        <x:v>120</x:v>
      </x:c>
      <x:c r="AB41" s="21" t="n">
        <x:v>5.75</x:v>
      </x:c>
      <x:c r="AC41" s="23" t="str">
        <x:v>历史批次已有同型号</x:v>
      </x:c>
      <x:c r="AD41" s="18" t="str">
        <x:v>https://www.miit.gov.cn/datainfo/dljdclscqyjcpgg/xcpgs411sdwdw3/art/2026/art_8e553bfa972548b6a06dd0547a15114a.html</x:v>
      </x:c>
      <x:c r="AE41" s="18" t="str">
        <x:v>电机功率</x:v>
      </x:c>
    </x:row>
    <x:row r="42">
      <x:c r="A42" s="22" t="n">
        <x:v>411</x:v>
      </x:c>
      <x:c r="B42" s="23" t="str">
        <x:v>正式公告</x:v>
      </x:c>
      <x:c r="C42" s="23" t="str">
        <x:v>插电混动(PHEV)</x:v>
      </x:c>
      <x:c r="D42" s="23" t="str">
        <x:v>否</x:v>
      </x:c>
      <x:c r="E42" s="18" t="str">
        <x:v>上汽通用汽车有限公司</x:v>
      </x:c>
      <x:c r="F42" s="18" t="str">
        <x:v>别克(BUICK)牌</x:v>
      </x:c>
      <x:c r="G42" s="18" t="str">
        <x:v>GL8 ENCASA</x:v>
      </x:c>
      <x:c r="H42" s="18" t="str">
        <x:v>SGM6536UDPHEV</x:v>
      </x:c>
      <x:c r="I42" s="18" t="str">
        <x:v>插电式混合动力多用途乘用车</x:v>
      </x:c>
      <x:c r="J42" s="20" t="n">
        <x:v>5260</x:v>
      </x:c>
      <x:c r="K42" s="20" t="n">
        <x:v>2000</x:v>
      </x:c>
      <x:c r="L42" s="20" t="n">
        <x:v>1835</x:v>
      </x:c>
      <x:c r="M42" s="20" t="n">
        <x:v>3160</x:v>
      </x:c>
      <x:c r="N42" s="20" t="n">
        <x:v>2780</x:v>
      </x:c>
      <x:c r="O42" s="20" t="n">
        <x:v>3380</x:v>
      </x:c>
      <x:c r="P42" s="24" t="n">
        <x:v>180</x:v>
      </x:c>
      <x:c r="Q42" s="18" t="str">
        <x:v>7</x:v>
      </x:c>
      <x:c r="R42" s="24" t="n">
        <x:v>295</x:v>
      </x:c>
      <x:c r="S42" s="25" t="n">
        <x:v>67</x:v>
      </x:c>
      <x:c r="T42" s="18"/>
      <x:c r="U42" s="18" t="str">
        <x:v>时代上汽动力电池有限公司</x:v>
      </x:c>
      <x:c r="V42" s="18"/>
      <x:c r="W42" s="18" t="str">
        <x:v>270</x:v>
      </x:c>
      <x:c r="X42" s="25" t="n">
        <x:v>270</x:v>
      </x:c>
      <x:c r="Y42" s="23" t="str">
        <x:v>单电机</x:v>
      </x:c>
      <x:c r="Z42" s="20" t="n">
        <x:v>1498</x:v>
      </x:c>
      <x:c r="AA42" s="21" t="n">
        <x:v>115</x:v>
      </x:c>
      <x:c r="AB42" s="21" t="n">
        <x:v>6.58</x:v>
      </x:c>
      <x:c r="AC42" s="23" t="str">
        <x:v>历史批次已有同型号</x:v>
      </x:c>
      <x:c r="AD42" s="18" t="str">
        <x:v>https://www.miit.gov.cn/datainfo/dljdclscqyjcpgg/xcpgs411sdwdw3/art/2026/art_75eb239056964a368bef8dcd41732adb.html</x:v>
      </x:c>
      <x:c r="AE42" s="18" t="str">
        <x:v>电池类型</x:v>
      </x:c>
    </x:row>
    <x:row r="43">
      <x:c r="A43" s="22" t="n">
        <x:v>411</x:v>
      </x:c>
      <x:c r="B43" s="23" t="str">
        <x:v>正式公告</x:v>
      </x:c>
      <x:c r="C43" s="23" t="str">
        <x:v>插电混动(PHEV)</x:v>
      </x:c>
      <x:c r="D43" s="23" t="str">
        <x:v>否</x:v>
      </x:c>
      <x:c r="E43" s="18" t="str">
        <x:v>上汽通用汽车有限公司</x:v>
      </x:c>
      <x:c r="F43" s="18" t="str">
        <x:v>别克(BUICK)牌</x:v>
      </x:c>
      <x:c r="G43" s="18" t="str">
        <x:v>GL8 ENCASA</x:v>
      </x:c>
      <x:c r="H43" s="18" t="str">
        <x:v>SGM6536UEPHEV</x:v>
      </x:c>
      <x:c r="I43" s="18" t="str">
        <x:v>插电式混合动力多用途乘用车</x:v>
      </x:c>
      <x:c r="J43" s="20" t="n">
        <x:v>5260</x:v>
      </x:c>
      <x:c r="K43" s="20" t="n">
        <x:v>2000</x:v>
      </x:c>
      <x:c r="L43" s="20" t="n">
        <x:v>1835</x:v>
      </x:c>
      <x:c r="M43" s="20" t="n">
        <x:v>3160</x:v>
      </x:c>
      <x:c r="N43" s="20" t="n">
        <x:v>2860</x:v>
      </x:c>
      <x:c r="O43" s="20" t="n">
        <x:v>3460</x:v>
      </x:c>
      <x:c r="P43" s="24" t="n">
        <x:v>180</x:v>
      </x:c>
      <x:c r="Q43" s="18" t="str">
        <x:v>7</x:v>
      </x:c>
      <x:c r="R43" s="24" t="n">
        <x:v>286</x:v>
      </x:c>
      <x:c r="S43" s="25" t="n">
        <x:v>67</x:v>
      </x:c>
      <x:c r="T43" s="18"/>
      <x:c r="U43" s="18" t="str">
        <x:v>时代上汽动力电池有限公司</x:v>
      </x:c>
      <x:c r="V43" s="18"/>
      <x:c r="W43" s="18" t="str">
        <x:v>270</x:v>
      </x:c>
      <x:c r="X43" s="25" t="n">
        <x:v>270</x:v>
      </x:c>
      <x:c r="Y43" s="23" t="str">
        <x:v>单电机</x:v>
      </x:c>
      <x:c r="Z43" s="20" t="n">
        <x:v>1498</x:v>
      </x:c>
      <x:c r="AA43" s="21" t="n">
        <x:v>115</x:v>
      </x:c>
      <x:c r="AB43" s="21" t="n">
        <x:v>6.85</x:v>
      </x:c>
      <x:c r="AC43" s="23" t="str">
        <x:v>历史批次已有同型号</x:v>
      </x:c>
      <x:c r="AD43" s="18" t="str">
        <x:v>https://www.miit.gov.cn/datainfo/dljdclscqyjcpgg/xcpgs411sdwdw3/art/2026/art_3af7c93fa4484afa8e3aa8c95b628f9c.html</x:v>
      </x:c>
      <x:c r="AE43" s="18" t="str">
        <x:v>电池类型</x:v>
      </x:c>
    </x:row>
    <x:row r="44">
      <x:c r="A44" s="22" t="n">
        <x:v>411</x:v>
      </x:c>
      <x:c r="B44" s="23" t="str">
        <x:v>正式公告</x:v>
      </x:c>
      <x:c r="C44" s="23" t="str">
        <x:v>插电混动(PHEV)</x:v>
      </x:c>
      <x:c r="D44" s="23" t="str">
        <x:v>否</x:v>
      </x:c>
      <x:c r="E44" s="18" t="str">
        <x:v>上汽通用汽车有限公司</x:v>
      </x:c>
      <x:c r="F44" s="18" t="str">
        <x:v>别克(BUICK)牌</x:v>
      </x:c>
      <x:c r="G44" s="18" t="str">
        <x:v>GL8 ENCASA</x:v>
      </x:c>
      <x:c r="H44" s="18" t="str">
        <x:v>SGM6536UFPHEV</x:v>
      </x:c>
      <x:c r="I44" s="18" t="str">
        <x:v>插电式混合动力多用途乘用车</x:v>
      </x:c>
      <x:c r="J44" s="20" t="n">
        <x:v>5260</x:v>
      </x:c>
      <x:c r="K44" s="20" t="n">
        <x:v>2023</x:v>
      </x:c>
      <x:c r="L44" s="20" t="n">
        <x:v>1820</x:v>
      </x:c>
      <x:c r="M44" s="20" t="n">
        <x:v>3160</x:v>
      </x:c>
      <x:c r="N44" s="20" t="n">
        <x:v>2915</x:v>
      </x:c>
      <x:c r="O44" s="20" t="n">
        <x:v>3500</x:v>
      </x:c>
      <x:c r="P44" s="24" t="n">
        <x:v>200</x:v>
      </x:c>
      <x:c r="Q44" s="18" t="str">
        <x:v>7</x:v>
      </x:c>
      <x:c r="R44" s="24" t="n">
        <x:v>285</x:v>
      </x:c>
      <x:c r="S44" s="25" t="n">
        <x:v>67</x:v>
      </x:c>
      <x:c r="T44" s="18"/>
      <x:c r="U44" s="18" t="str">
        <x:v>时代上汽动力电池有限公司</x:v>
      </x:c>
      <x:c r="V44" s="18"/>
      <x:c r="W44" s="18" t="str">
        <x:v>270</x:v>
      </x:c>
      <x:c r="X44" s="25" t="n">
        <x:v>270</x:v>
      </x:c>
      <x:c r="Y44" s="23" t="str">
        <x:v>单电机</x:v>
      </x:c>
      <x:c r="Z44" s="20" t="n">
        <x:v>1999</x:v>
      </x:c>
      <x:c r="AA44" s="21" t="n">
        <x:v>160</x:v>
      </x:c>
      <x:c r="AB44" s="21" t="n">
        <x:v>7.2</x:v>
      </x:c>
      <x:c r="AC44" s="23" t="str">
        <x:v>历史批次已有同型号</x:v>
      </x:c>
      <x:c r="AD44" s="18" t="str">
        <x:v>https://www.miit.gov.cn/datainfo/dljdclscqyjcpgg/xcpgs411sdwdw3/art/2026/art_c9ee677d58fa4c64ad203d60999f56ef.html</x:v>
      </x:c>
      <x:c r="AE44" s="18" t="str">
        <x:v>电池类型</x:v>
      </x:c>
    </x:row>
    <x:row r="45">
      <x:c r="A45" s="22" t="n">
        <x:v>411</x:v>
      </x:c>
      <x:c r="B45" s="23" t="str">
        <x:v>正式公告</x:v>
      </x:c>
      <x:c r="C45" s="23" t="str">
        <x:v>插电混动(PHEV)</x:v>
      </x:c>
      <x:c r="D45" s="23" t="str">
        <x:v>否</x:v>
      </x:c>
      <x:c r="E45" s="18" t="str">
        <x:v>重庆长安汽车股份有限公司</x:v>
      </x:c>
      <x:c r="F45" s="18" t="str">
        <x:v>阿维塔（AVATR）牌</x:v>
      </x:c>
      <x:c r="G45" s="18" t="str">
        <x:v>T09</x:v>
      </x:c>
      <x:c r="H45" s="18" t="str">
        <x:v>SC6530AAAA6HEV</x:v>
      </x:c>
      <x:c r="I45" s="18" t="str">
        <x:v>插电式混合动力运动型乘用车</x:v>
      </x:c>
      <x:c r="J45" s="20" t="n">
        <x:v>5285</x:v>
      </x:c>
      <x:c r="K45" s="20" t="n">
        <x:v>2025</x:v>
      </x:c>
      <x:c r="L45" s="20" t="n">
        <x:v>1810</x:v>
      </x:c>
      <x:c r="M45" s="20" t="n">
        <x:v>3150</x:v>
      </x:c>
      <x:c r="N45" s="20" t="n">
        <x:v>3035</x:v>
      </x:c>
      <x:c r="O45" s="20" t="n">
        <x:v>3630</x:v>
      </x:c>
      <x:c r="P45" s="24" t="n">
        <x:v>220</x:v>
      </x:c>
      <x:c r="Q45" s="18" t="str">
        <x:v>6</x:v>
      </x:c>
      <x:c r="R45" s="24" t="n">
        <x:v>300</x:v>
      </x:c>
      <x:c r="S45" s="25" t="n">
        <x:v>71.24</x:v>
      </x:c>
      <x:c r="T45" s="18"/>
      <x:c r="U45" s="18"/>
      <x:c r="V45" s="18"/>
      <x:c r="W45" s="18" t="str">
        <x:v>180/225/225</x:v>
      </x:c>
      <x:c r="X45" s="25" t="n">
        <x:v>630</x:v>
      </x:c>
      <x:c r="Y45" s="23" t="str">
        <x:v>三电机</x:v>
      </x:c>
      <x:c r="Z45" s="20" t="n">
        <x:v>1998</x:v>
      </x:c>
      <x:c r="AA45" s="21" t="n">
        <x:v>155</x:v>
      </x:c>
      <x:c r="AB45" s="21" t="n">
        <x:v>6.96</x:v>
      </x:c>
      <x:c r="AC45" s="23" t="str">
        <x:v>历史批次已有同型号</x:v>
      </x:c>
      <x:c r="AD45" s="18" t="str">
        <x:v>https://www.miit.gov.cn/datainfo/dljdclscqyjcpgg/xcpgs411sdwdw3/art/2026/art_a449473049894a759f36fc6161fc94bb.html</x:v>
      </x:c>
      <x:c r="AE45" s="18" t="str">
        <x:v>电池类型</x:v>
      </x:c>
    </x:row>
    <x:row r="46">
      <x:c r="A46" s="22" t="n">
        <x:v>411</x:v>
      </x:c>
      <x:c r="B46" s="23" t="str">
        <x:v>正式公告</x:v>
      </x:c>
      <x:c r="C46" s="23" t="str">
        <x:v>插电混动(PHEV)</x:v>
      </x:c>
      <x:c r="D46" s="23" t="str">
        <x:v>否</x:v>
      </x:c>
      <x:c r="E46" s="18" t="str">
        <x:v>重庆长安汽车股份有限公司</x:v>
      </x:c>
      <x:c r="F46" s="18" t="str">
        <x:v>阿维塔（AVATR）牌</x:v>
      </x:c>
      <x:c r="G46" s="18" t="str">
        <x:v>T09</x:v>
      </x:c>
      <x:c r="H46" s="18" t="str">
        <x:v>SC6530AAAB6HEV</x:v>
      </x:c>
      <x:c r="I46" s="18" t="str">
        <x:v>插电式混合动力运动型乘用车</x:v>
      </x:c>
      <x:c r="J46" s="20" t="n">
        <x:v>5285</x:v>
      </x:c>
      <x:c r="K46" s="20" t="n">
        <x:v>2025</x:v>
      </x:c>
      <x:c r="L46" s="20" t="n">
        <x:v>1810</x:v>
      </x:c>
      <x:c r="M46" s="20" t="n">
        <x:v>3150</x:v>
      </x:c>
      <x:c r="N46" s="20" t="n">
        <x:v>2880</x:v>
      </x:c>
      <x:c r="O46" s="20" t="n">
        <x:v>3505</x:v>
      </x:c>
      <x:c r="P46" s="24" t="n">
        <x:v>220</x:v>
      </x:c>
      <x:c r="Q46" s="18" t="str">
        <x:v>6</x:v>
      </x:c>
      <x:c r="R46" s="24" t="n">
        <x:v>330</x:v>
      </x:c>
      <x:c r="S46" s="25" t="n">
        <x:v>71.24</x:v>
      </x:c>
      <x:c r="T46" s="18"/>
      <x:c r="U46" s="18"/>
      <x:c r="V46" s="18"/>
      <x:c r="W46" s="18" t="str">
        <x:v>180/310</x:v>
      </x:c>
      <x:c r="X46" s="25" t="n">
        <x:v>490</x:v>
      </x:c>
      <x:c r="Y46" s="23" t="str">
        <x:v>双电机</x:v>
      </x:c>
      <x:c r="Z46" s="20" t="n">
        <x:v>1497</x:v>
      </x:c>
      <x:c r="AA46" s="21" t="n">
        <x:v>110</x:v>
      </x:c>
      <x:c r="AB46" s="21" t="n">
        <x:v>6.46</x:v>
      </x:c>
      <x:c r="AC46" s="23" t="str">
        <x:v>历史批次已有同型号</x:v>
      </x:c>
      <x:c r="AD46" s="18" t="str">
        <x:v>https://www.miit.gov.cn/datainfo/dljdclscqyjcpgg/xcpgs411sdwdw3/art/2026/art_ae6d61be961a4ce998c591c88e122fd8.html</x:v>
      </x:c>
      <x:c r="AE46" s="18" t="str">
        <x:v>电池类型</x:v>
      </x:c>
    </x:row>
    <x:row r="47">
      <x:c r="A47" s="22" t="n">
        <x:v>411</x:v>
      </x:c>
      <x:c r="B47" s="23" t="str">
        <x:v>正式公告</x:v>
      </x:c>
      <x:c r="C47" s="23" t="str">
        <x:v>插电混动(PHEV)</x:v>
      </x:c>
      <x:c r="D47" s="23" t="str">
        <x:v>否</x:v>
      </x:c>
      <x:c r="E47" s="18" t="str">
        <x:v>长城汽车股份有限公司</x:v>
      </x:c>
      <x:c r="F47" s="18" t="str">
        <x:v>长城牌</x:v>
      </x:c>
      <x:c r="G47" s="18"/>
      <x:c r="H47" s="18" t="str">
        <x:v>CC2040BV24DPHEV</x:v>
      </x:c>
      <x:c r="I47" s="18" t="str">
        <x:v>插电式混合动力越野乘用车</x:v>
      </x:c>
      <x:c r="J47" s="20" t="n">
        <x:v>5110</x:v>
      </x:c>
      <x:c r="K47" s="20" t="n">
        <x:v>2122</x:v>
      </x:c>
      <x:c r="L47" s="20" t="n">
        <x:v>1986</x:v>
      </x:c>
      <x:c r="M47" s="20" t="n">
        <x:v>3000</x:v>
      </x:c>
      <x:c r="N47" s="20" t="n">
        <x:v>3360</x:v>
      </x:c>
      <x:c r="O47" s="20" t="n">
        <x:v>3860</x:v>
      </x:c>
      <x:c r="P47" s="24" t="n">
        <x:v>190</x:v>
      </x:c>
      <x:c r="Q47" s="18" t="str">
        <x:v>5</x:v>
      </x:c>
      <x:c r="R47" s="24"/>
      <x:c r="S47" s="25"/>
      <x:c r="T47" s="18" t="str">
        <x:v>镍钴锰三元锂蓄电池</x:v>
      </x:c>
      <x:c r="U47" s="18"/>
      <x:c r="V47" s="18"/>
      <x:c r="W47" s="18"/>
      <x:c r="X47" s="25"/>
      <x:c r="Y47" s="23"/>
      <x:c r="Z47" s="20" t="n">
        <x:v>2993</x:v>
      </x:c>
      <x:c r="AA47" s="21" t="n">
        <x:v>265</x:v>
      </x:c>
      <x:c r="AB47" s="21"/>
      <x:c r="AC47" s="23" t="str">
        <x:v>型号级新增</x:v>
      </x:c>
      <x:c r="AD47" s="18" t="str">
        <x:v>https://www.miit.gov.cn/datainfo/dljdclscqyjcpgg/xcpgs411sdwdw3/art/2026/art_7a7a2789e7a74d958ebdaad72569f970.html</x:v>
      </x:c>
      <x:c r="AE47" s="18" t="str">
        <x:v>续航、电池容量、电机功率</x:v>
      </x:c>
    </x:row>
    <x:row r="48">
      <x:c r="A48" s="22" t="n">
        <x:v>411</x:v>
      </x:c>
      <x:c r="B48" s="23" t="str">
        <x:v>正式公告</x:v>
      </x:c>
      <x:c r="C48" s="23" t="str">
        <x:v>纯电(BEV)</x:v>
      </x:c>
      <x:c r="D48" s="23" t="str">
        <x:v>否</x:v>
      </x:c>
      <x:c r="E48" s="18" t="str">
        <x:v>华晨宝马汽车有限公司</x:v>
      </x:c>
      <x:c r="F48" s="18" t="str">
        <x:v>宝马(BMW)牌</x:v>
      </x:c>
      <x:c r="G48" s="18"/>
      <x:c r="H48" s="18" t="str">
        <x:v>BMW6495CABEV</x:v>
      </x:c>
      <x:c r="I48" s="18" t="str">
        <x:v>纯电动多用途乘用车</x:v>
      </x:c>
      <x:c r="J48" s="20" t="n">
        <x:v>4885</x:v>
      </x:c>
      <x:c r="K48" s="20" t="n">
        <x:v>1895</x:v>
      </x:c>
      <x:c r="L48" s="20" t="n">
        <x:v>1634</x:v>
      </x:c>
      <x:c r="M48" s="20" t="n">
        <x:v>3005</x:v>
      </x:c>
      <x:c r="N48" s="20" t="n">
        <x:v>2237</x:v>
      </x:c>
      <x:c r="O48" s="20" t="n">
        <x:v>2680</x:v>
      </x:c>
      <x:c r="P48" s="24" t="n">
        <x:v>180</x:v>
      </x:c>
      <x:c r="Q48" s="18" t="str">
        <x:v>5</x:v>
      </x:c>
      <x:c r="R48" s="24"/>
      <x:c r="S48" s="25"/>
      <x:c r="T48" s="18" t="str">
        <x:v>磷酸铁锂离子电池</x:v>
      </x:c>
      <x:c r="U48" s="18"/>
      <x:c r="V48" s="18"/>
      <x:c r="W48" s="18" t="str">
        <x:v>235</x:v>
      </x:c>
      <x:c r="X48" s="25" t="n">
        <x:v>235</x:v>
      </x:c>
      <x:c r="Y48" s="23" t="str">
        <x:v>单电机</x:v>
      </x:c>
      <x:c r="Z48" s="20"/>
      <x:c r="AA48" s="21"/>
      <x:c r="AB48" s="21"/>
      <x:c r="AC48" s="23" t="str">
        <x:v>型号级新增</x:v>
      </x:c>
      <x:c r="AD48" s="18" t="str">
        <x:v>https://www.miit.gov.cn/datainfo/dljdclscqyjcpgg/xcpgs411sdwdw3/art/2026/art_98ec86f3bda74c73bc0dfb6ed215d262.html</x:v>
      </x:c>
      <x:c r="AE48" s="18" t="str">
        <x:v>续航、电池容量、发动机功率</x:v>
      </x:c>
    </x:row>
    <x:row r="49">
      <x:c r="A49" s="22" t="n">
        <x:v>411</x:v>
      </x:c>
      <x:c r="B49" s="23" t="str">
        <x:v>正式公告</x:v>
      </x:c>
      <x:c r="C49" s="23" t="str">
        <x:v>纯电(BEV)</x:v>
      </x:c>
      <x:c r="D49" s="23" t="str">
        <x:v>否</x:v>
      </x:c>
      <x:c r="E49" s="18" t="str">
        <x:v>东风汽车集团有限公司</x:v>
      </x:c>
      <x:c r="F49" s="18" t="str">
        <x:v>东风牌</x:v>
      </x:c>
      <x:c r="G49" s="18"/>
      <x:c r="H49" s="18" t="str">
        <x:v>DFM7002S1F4BSEV</x:v>
      </x:c>
      <x:c r="I49" s="18" t="str">
        <x:v>换电式纯电动轿车</x:v>
      </x:c>
      <x:c r="J49" s="20" t="n">
        <x:v>4910</x:v>
      </x:c>
      <x:c r="K49" s="20" t="n">
        <x:v>1930</x:v>
      </x:c>
      <x:c r="L49" s="20" t="n">
        <x:v>1478</x:v>
      </x:c>
      <x:c r="M49" s="20" t="n">
        <x:v>2920</x:v>
      </x:c>
      <x:c r="N49" s="20" t="n">
        <x:v>1851</x:v>
      </x:c>
      <x:c r="O49" s="20" t="n">
        <x:v>2251</x:v>
      </x:c>
      <x:c r="P49" s="24" t="n">
        <x:v>195</x:v>
      </x:c>
      <x:c r="Q49" s="18" t="str">
        <x:v>5</x:v>
      </x:c>
      <x:c r="R49" s="24"/>
      <x:c r="S49" s="25"/>
      <x:c r="T49" s="18" t="str">
        <x:v>磷酸铁锂蓄电池</x:v>
      </x:c>
      <x:c r="U49" s="18"/>
      <x:c r="V49" s="18"/>
      <x:c r="W49" s="18" t="str">
        <x:v>215</x:v>
      </x:c>
      <x:c r="X49" s="25" t="n">
        <x:v>215</x:v>
      </x:c>
      <x:c r="Y49" s="23" t="str">
        <x:v>单电机</x:v>
      </x:c>
      <x:c r="Z49" s="20"/>
      <x:c r="AA49" s="21"/>
      <x:c r="AB49" s="21"/>
      <x:c r="AC49" s="23" t="str">
        <x:v>型号级新增</x:v>
      </x:c>
      <x:c r="AD49" s="18" t="str">
        <x:v>https://www.miit.gov.cn/datainfo/dljdclscqyjcpgg/xcpgs411sdwdw3/art/2026/art_be25c24375dd4165a19f834c5d7d1ee4.html</x:v>
      </x:c>
      <x:c r="AE49" s="18" t="str">
        <x:v>续航、电池容量、发动机功率</x:v>
      </x:c>
    </x:row>
    <x:row r="50">
      <x:c r="A50" s="22" t="n">
        <x:v>411</x:v>
      </x:c>
      <x:c r="B50" s="23" t="str">
        <x:v>正式公告</x:v>
      </x:c>
      <x:c r="C50" s="23" t="str">
        <x:v>插电混动(PHEV)</x:v>
      </x:c>
      <x:c r="D50" s="23" t="str">
        <x:v>否</x:v>
      </x:c>
      <x:c r="E50" s="18" t="str">
        <x:v>长城汽车股份有限公司</x:v>
      </x:c>
      <x:c r="F50" s="18" t="str">
        <x:v>长城牌</x:v>
      </x:c>
      <x:c r="G50" s="18"/>
      <x:c r="H50" s="18" t="str">
        <x:v>CC2040BV24APHEV</x:v>
      </x:c>
      <x:c r="I50" s="18" t="str">
        <x:v>插电式混合动力越野乘用车</x:v>
      </x:c>
      <x:c r="J50" s="20" t="n">
        <x:v>5445</x:v>
      </x:c>
      <x:c r="K50" s="20" t="n">
        <x:v>2126</x:v>
      </x:c>
      <x:c r="L50" s="20" t="n">
        <x:v>2021</x:v>
      </x:c>
      <x:c r="M50" s="20" t="n">
        <x:v>3150</x:v>
      </x:c>
      <x:c r="N50" s="20" t="n">
        <x:v>3480</x:v>
      </x:c>
      <x:c r="O50" s="20" t="n">
        <x:v>3980</x:v>
      </x:c>
      <x:c r="P50" s="24" t="n">
        <x:v>190</x:v>
      </x:c>
      <x:c r="Q50" s="18" t="str">
        <x:v>6</x:v>
      </x:c>
      <x:c r="R50" s="24"/>
      <x:c r="S50" s="25"/>
      <x:c r="T50" s="18" t="str">
        <x:v>镍钴锰三元锂蓄电池</x:v>
      </x:c>
      <x:c r="U50" s="18"/>
      <x:c r="V50" s="18"/>
      <x:c r="W50" s="18"/>
      <x:c r="X50" s="25"/>
      <x:c r="Y50" s="23"/>
      <x:c r="Z50" s="20" t="n">
        <x:v>2993</x:v>
      </x:c>
      <x:c r="AA50" s="21" t="n">
        <x:v>265</x:v>
      </x:c>
      <x:c r="AB50" s="21"/>
      <x:c r="AC50" s="23" t="str">
        <x:v>型号级新增</x:v>
      </x:c>
      <x:c r="AD50" s="18" t="str">
        <x:v>https://www.miit.gov.cn/datainfo/dljdclscqyjcpgg/xcpgs411sdwdw3/art/2026/art_301e9bed68994423844fc8f2ffc87768.html</x:v>
      </x:c>
      <x:c r="AE50" s="18" t="str">
        <x:v>续航、电池容量、电机功率</x:v>
      </x:c>
    </x:row>
  </x:sheetData>
  <x:conditionalFormatting sqref="X4:X50">
    <x:cfRule type="cellIs" dxfId="0" priority="1" operator="greaterThanOrEqual">
      <x:formula>200</x:formula>
    </x:cfRule>
  </x:conditionalFormatting>
  <x:conditionalFormatting sqref="AE4:AE50">
    <x:cfRule type="notContainsBlanks" dxfId="1" priority="2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E75B6"/>
  </x:sheetPr>
  <x:sheetViews>
    <x:sheetView showGridLines="0" workbookViewId="0">
      <x:pane xSplit="9" ySplit="3" topLeftCell="J4" activePane="bottomRight" state="frozen"/>
    </x:sheetView>
  </x:sheetViews>
  <x:sheetFormatPr defaultRowHeight="15"/>
  <x:cols>
    <x:col min="1" max="1" width="7" hidden="0" customWidth="1"/>
    <x:col min="2" max="2" width="10" hidden="0" customWidth="1"/>
    <x:col min="3" max="3" width="16" hidden="0" customWidth="1"/>
    <x:col min="4" max="4" width="9" hidden="0" customWidth="1"/>
    <x:col min="5" max="5" width="26" hidden="0" customWidth="1"/>
    <x:col min="6" max="6" width="18" hidden="0" customWidth="1"/>
    <x:col min="7" max="7" width="16" hidden="0" customWidth="1"/>
    <x:col min="8" max="8" width="20" hidden="0" customWidth="1"/>
    <x:col min="9" max="9" width="24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2" hidden="0" customWidth="1"/>
    <x:col min="15" max="15" width="11" hidden="0" customWidth="1"/>
    <x:col min="16" max="16" width="11" hidden="0" customWidth="1"/>
    <x:col min="17" max="17" width="12" hidden="0" customWidth="1"/>
    <x:col min="18" max="18" width="12" hidden="0" customWidth="1"/>
    <x:col min="19" max="19" width="12" hidden="0" customWidth="1"/>
    <x:col min="20" max="20" width="20" hidden="0" customWidth="1"/>
    <x:col min="21" max="21" width="30" hidden="0" customWidth="1"/>
    <x:col min="22" max="22" width="30" hidden="0" customWidth="1"/>
    <x:col min="23" max="23" width="20" hidden="0" customWidth="1"/>
    <x:col min="24" max="24" width="14" hidden="0" customWidth="1"/>
    <x:col min="25" max="25" width="11" hidden="0" customWidth="1"/>
    <x:col min="26" max="26" width="12" hidden="0" customWidth="1"/>
    <x:col min="27" max="27" width="12" hidden="0" customWidth="1"/>
    <x:col min="28" max="28" width="12" hidden="0" customWidth="1"/>
    <x:col min="29" max="29" width="18" hidden="0" customWidth="1"/>
    <x:col min="30" max="30" width="46" hidden="0" customWidth="1"/>
    <x:col min="31" max="31" width="24" hidden="0" customWidth="1"/>
  </x:cols>
  <x:sheetData>
    <x:row r="2">
      <x:c r="A2" s="1" t="str">
        <x:v>412公示车型逐车型扫描</x:v>
      </x:c>
    </x:row>
    <x:row r="3">
      <x:c r="A3" s="13" t="str">
        <x:v>批次</x:v>
      </x:c>
      <x:c r="B3" s="14" t="str">
        <x:v>状态</x:v>
      </x:c>
      <x:c r="C3" s="14" t="str">
        <x:v>技术路线</x:v>
      </x:c>
      <x:c r="D3" s="14" t="str">
        <x:v>是否增程</x:v>
      </x:c>
      <x:c r="E3" s="14" t="str">
        <x:v>企业名称</x:v>
      </x:c>
      <x:c r="F3" s="14" t="str">
        <x:v>产品商标</x:v>
      </x:c>
      <x:c r="G3" s="14" t="str">
        <x:v>通用名称</x:v>
      </x:c>
      <x:c r="H3" s="14" t="str">
        <x:v>产品型号</x:v>
      </x:c>
      <x:c r="I3" s="14" t="str">
        <x:v>产品名称</x:v>
      </x:c>
      <x:c r="J3" s="14" t="str">
        <x:v>车长(mm)</x:v>
      </x:c>
      <x:c r="K3" s="14" t="str">
        <x:v>车宽(mm)</x:v>
      </x:c>
      <x:c r="L3" s="14" t="str">
        <x:v>车高(mm)</x:v>
      </x:c>
      <x:c r="M3" s="14" t="str">
        <x:v>轴距(mm)</x:v>
      </x:c>
      <x:c r="N3" s="14" t="str">
        <x:v>整备质量(kg)</x:v>
      </x:c>
      <x:c r="O3" s="14" t="str">
        <x:v>总质量(kg)</x:v>
      </x:c>
      <x:c r="P3" s="14" t="str">
        <x:v>最高车速(km/h)</x:v>
      </x:c>
      <x:c r="Q3" s="14" t="str">
        <x:v>额定载客(人)</x:v>
      </x:c>
      <x:c r="R3" s="14" t="str">
        <x:v>纯电续航(km)</x:v>
      </x:c>
      <x:c r="S3" s="14" t="str">
        <x:v>电池容量(kWh)</x:v>
      </x:c>
      <x:c r="T3" s="14" t="str">
        <x:v>电池类型</x:v>
      </x:c>
      <x:c r="U3" s="14" t="str">
        <x:v>电芯供应商</x:v>
      </x:c>
      <x:c r="V3" s="14" t="str">
        <x:v>电池包供应商</x:v>
      </x:c>
      <x:c r="W3" s="14" t="str">
        <x:v>电机峰值功率数列(kW)</x:v>
      </x:c>
      <x:c r="X3" s="14" t="str">
        <x:v>电机总功率(kW)</x:v>
      </x:c>
      <x:c r="Y3" s="14" t="str">
        <x:v>驱动形式</x:v>
      </x:c>
      <x:c r="Z3" s="14" t="str">
        <x:v>发动机排量(mL)</x:v>
      </x:c>
      <x:c r="AA3" s="14" t="str">
        <x:v>发动机功率(kW)</x:v>
      </x:c>
      <x:c r="AB3" s="14" t="str">
        <x:v>综合油耗(L/100km)</x:v>
      </x:c>
      <x:c r="AC3" s="14" t="str">
        <x:v>型号级新增</x:v>
      </x:c>
      <x:c r="AD3" s="14" t="str">
        <x:v>来源URL</x:v>
      </x:c>
      <x:c r="AE3" s="14" t="str">
        <x:v>缺失关键字段</x:v>
      </x:c>
    </x:row>
    <x:row r="4">
      <x:c r="A4" s="22" t="n">
        <x:v>412</x:v>
      </x:c>
      <x:c r="B4" s="23" t="str">
        <x:v>公示</x:v>
      </x:c>
      <x:c r="C4" s="23" t="str">
        <x:v>纯电(BEV)</x:v>
      </x:c>
      <x:c r="D4" s="23" t="str">
        <x:v>否</x:v>
      </x:c>
      <x:c r="E4" s="18" t="str">
        <x:v>北京新能源汽车股份有限公司</x:v>
      </x:c>
      <x:c r="F4" s="18" t="str">
        <x:v>极狐牌</x:v>
      </x:c>
      <x:c r="G4" s="18"/>
      <x:c r="H4" s="18" t="str">
        <x:v>BJ6500A60SBEV</x:v>
      </x:c>
      <x:c r="I4" s="18" t="str">
        <x:v>纯电动多用途乘用车</x:v>
      </x:c>
      <x:c r="J4" s="20" t="n">
        <x:v>5020</x:v>
      </x:c>
      <x:c r="K4" s="20" t="n">
        <x:v>1996</x:v>
      </x:c>
      <x:c r="L4" s="20" t="n">
        <x:v>1685</x:v>
      </x:c>
      <x:c r="M4" s="20" t="n">
        <x:v>3040</x:v>
      </x:c>
      <x:c r="N4" s="20" t="n">
        <x:v>2050</x:v>
      </x:c>
      <x:c r="O4" s="20" t="n">
        <x:v>2425</x:v>
      </x:c>
      <x:c r="P4" s="24" t="n">
        <x:v>180</x:v>
      </x:c>
      <x:c r="Q4" s="18" t="str">
        <x:v>5</x:v>
      </x:c>
      <x:c r="R4" s="24"/>
      <x:c r="S4" s="25"/>
      <x:c r="T4" s="18" t="str">
        <x:v>磷酸铁锂蓄电池</x:v>
      </x:c>
      <x:c r="U4" s="18" t="str">
        <x:v>迅极光新能源汽车部件（北京）有限公司(总成)/ 湖北亿纬动力有限公司</x:v>
      </x:c>
      <x:c r="V4" s="18" t="str">
        <x:v>海</x:v>
      </x:c>
      <x:c r="W4" s="18" t="str">
        <x:v>227</x:v>
      </x:c>
      <x:c r="X4" s="25" t="n">
        <x:v>227</x:v>
      </x:c>
      <x:c r="Y4" s="23" t="str">
        <x:v>单电机</x:v>
      </x:c>
      <x:c r="Z4" s="20"/>
      <x:c r="AA4" s="21"/>
      <x:c r="AB4" s="21"/>
      <x:c r="AC4" s="23" t="str">
        <x:v>型号级新增</x:v>
      </x:c>
      <x:c r="AD4" s="18" t="str">
        <x:v>https://www.miit.gov.cn/datainfo/dljdclscqyjcpgg/xcpgs412156gfgy/art/2026/art_b63674e1230547bebe66ed9f7ca68546.html</x:v>
      </x:c>
      <x:c r="AE4" s="18" t="str">
        <x:v>续航、电池容量、发动机功率</x:v>
      </x:c>
    </x:row>
    <x:row r="5">
      <x:c r="A5" s="22" t="n">
        <x:v>412</x:v>
      </x:c>
      <x:c r="B5" s="23" t="str">
        <x:v>公示</x:v>
      </x:c>
      <x:c r="C5" s="23" t="str">
        <x:v>纯电(BEV)</x:v>
      </x:c>
      <x:c r="D5" s="23" t="str">
        <x:v>否</x:v>
      </x:c>
      <x:c r="E5" s="18" t="str">
        <x:v>北京新能源汽车股份有限公司</x:v>
      </x:c>
      <x:c r="F5" s="18" t="str">
        <x:v>极狐牌</x:v>
      </x:c>
      <x:c r="G5" s="18"/>
      <x:c r="H5" s="18" t="str">
        <x:v>BJ6500A604SBEV</x:v>
      </x:c>
      <x:c r="I5" s="18" t="str">
        <x:v>纯电动多用途乘用车</x:v>
      </x:c>
      <x:c r="J5" s="20" t="n">
        <x:v>5020</x:v>
      </x:c>
      <x:c r="K5" s="20" t="n">
        <x:v>1996</x:v>
      </x:c>
      <x:c r="L5" s="20" t="n">
        <x:v>1685</x:v>
      </x:c>
      <x:c r="M5" s="20" t="n">
        <x:v>3040</x:v>
      </x:c>
      <x:c r="N5" s="20" t="n">
        <x:v>1980</x:v>
      </x:c>
      <x:c r="O5" s="20" t="n">
        <x:v>2355</x:v>
      </x:c>
      <x:c r="P5" s="24" t="n">
        <x:v>180</x:v>
      </x:c>
      <x:c r="Q5" s="18" t="str">
        <x:v>5</x:v>
      </x:c>
      <x:c r="R5" s="24"/>
      <x:c r="S5" s="25"/>
      <x:c r="T5" s="18" t="str">
        <x:v>磷酸铁锂蓄电池</x:v>
      </x:c>
      <x:c r="U5" s="18" t="str">
        <x:v>迅极光新能源汽车部件（北京）有限公司(总成)/ 时代一汽动力电池有限公司</x:v>
      </x:c>
      <x:c r="V5" s="18" t="str">
        <x:v>海</x:v>
      </x:c>
      <x:c r="W5" s="18" t="str">
        <x:v>227</x:v>
      </x:c>
      <x:c r="X5" s="25" t="n">
        <x:v>227</x:v>
      </x:c>
      <x:c r="Y5" s="23" t="str">
        <x:v>单电机</x:v>
      </x:c>
      <x:c r="Z5" s="20"/>
      <x:c r="AA5" s="21"/>
      <x:c r="AB5" s="21"/>
      <x:c r="AC5" s="23" t="str">
        <x:v>型号级新增</x:v>
      </x:c>
      <x:c r="AD5" s="18" t="str">
        <x:v>https://www.miit.gov.cn/datainfo/dljdclscqyjcpgg/xcpgs412156gfgy/art/2026/art_a36777e6079f4d31a02af02e8ad9e8c5.html</x:v>
      </x:c>
      <x:c r="AE5" s="18" t="str">
        <x:v>续航、电池容量、发动机功率</x:v>
      </x:c>
    </x:row>
    <x:row r="6">
      <x:c r="A6" s="22" t="n">
        <x:v>412</x:v>
      </x:c>
      <x:c r="B6" s="23" t="str">
        <x:v>公示</x:v>
      </x:c>
      <x:c r="C6" s="23" t="str">
        <x:v>纯电(BEV)</x:v>
      </x:c>
      <x:c r="D6" s="23" t="str">
        <x:v>否</x:v>
      </x:c>
      <x:c r="E6" s="18" t="str">
        <x:v>北京新能源汽车股份有限公司</x:v>
      </x:c>
      <x:c r="F6" s="18" t="str">
        <x:v>极狐牌</x:v>
      </x:c>
      <x:c r="G6" s="18"/>
      <x:c r="H6" s="18" t="str">
        <x:v>BJ6500A601SBEV</x:v>
      </x:c>
      <x:c r="I6" s="18" t="str">
        <x:v>纯电动多用途乘用车</x:v>
      </x:c>
      <x:c r="J6" s="20" t="n">
        <x:v>5020</x:v>
      </x:c>
      <x:c r="K6" s="20" t="n">
        <x:v>1996</x:v>
      </x:c>
      <x:c r="L6" s="20" t="n">
        <x:v>1685</x:v>
      </x:c>
      <x:c r="M6" s="20" t="n">
        <x:v>3040</x:v>
      </x:c>
      <x:c r="N6" s="20" t="n">
        <x:v>1980</x:v>
      </x:c>
      <x:c r="O6" s="20" t="n">
        <x:v>2355</x:v>
      </x:c>
      <x:c r="P6" s="24" t="n">
        <x:v>180</x:v>
      </x:c>
      <x:c r="Q6" s="18" t="str">
        <x:v>5</x:v>
      </x:c>
      <x:c r="R6" s="24"/>
      <x:c r="S6" s="25"/>
      <x:c r="T6" s="18" t="str">
        <x:v>磷酸铁锂蓄电池</x:v>
      </x:c>
      <x:c r="U6" s="18" t="str">
        <x:v>迅极光新能源汽车部件（北京）有限公司(总成)/ 湖北亿纬动力有限公司</x:v>
      </x:c>
      <x:c r="V6" s="18" t="str">
        <x:v>海</x:v>
      </x:c>
      <x:c r="W6" s="18" t="str">
        <x:v>227</x:v>
      </x:c>
      <x:c r="X6" s="25" t="n">
        <x:v>227</x:v>
      </x:c>
      <x:c r="Y6" s="23" t="str">
        <x:v>单电机</x:v>
      </x:c>
      <x:c r="Z6" s="20"/>
      <x:c r="AA6" s="21"/>
      <x:c r="AB6" s="21"/>
      <x:c r="AC6" s="23" t="str">
        <x:v>型号级新增</x:v>
      </x:c>
      <x:c r="AD6" s="18" t="str">
        <x:v>https://www.miit.gov.cn/datainfo/dljdclscqyjcpgg/xcpgs412156gfgy/art/2026/art_bb57a282a7fa4d40840e9f753339423a.html</x:v>
      </x:c>
      <x:c r="AE6" s="18" t="str">
        <x:v>续航、电池容量、发动机功率</x:v>
      </x:c>
    </x:row>
    <x:row r="7">
      <x:c r="A7" s="22" t="n">
        <x:v>412</x:v>
      </x:c>
      <x:c r="B7" s="23" t="str">
        <x:v>公示</x:v>
      </x:c>
      <x:c r="C7" s="23" t="str">
        <x:v>纯电(BEV)</x:v>
      </x:c>
      <x:c r="D7" s="23" t="str">
        <x:v>否</x:v>
      </x:c>
      <x:c r="E7" s="18" t="str">
        <x:v>北京新能源汽车股份有限公司</x:v>
      </x:c>
      <x:c r="F7" s="18" t="str">
        <x:v>极狐牌</x:v>
      </x:c>
      <x:c r="G7" s="18"/>
      <x:c r="H7" s="18" t="str">
        <x:v>BJ6500A602SBEV</x:v>
      </x:c>
      <x:c r="I7" s="18" t="str">
        <x:v>纯电动多用途乘用车</x:v>
      </x:c>
      <x:c r="J7" s="20" t="n">
        <x:v>5020</x:v>
      </x:c>
      <x:c r="K7" s="20" t="n">
        <x:v>1996</x:v>
      </x:c>
      <x:c r="L7" s="20" t="n">
        <x:v>1685</x:v>
      </x:c>
      <x:c r="M7" s="20" t="n">
        <x:v>3040</x:v>
      </x:c>
      <x:c r="N7" s="20" t="n">
        <x:v>1980</x:v>
      </x:c>
      <x:c r="O7" s="20" t="n">
        <x:v>2355</x:v>
      </x:c>
      <x:c r="P7" s="24" t="n">
        <x:v>180</x:v>
      </x:c>
      <x:c r="Q7" s="18" t="str">
        <x:v>5</x:v>
      </x:c>
      <x:c r="R7" s="24"/>
      <x:c r="S7" s="25"/>
      <x:c r="T7" s="18" t="str">
        <x:v>磷酸铁锂蓄电池</x:v>
      </x:c>
      <x:c r="U7" s="18" t="str">
        <x:v>德时代新能源科技股份有限公司(总成)/ 时代一汽动力电池有限公司</x:v>
      </x:c>
      <x:c r="V7" s="18" t="str">
        <x:v>宁</x:v>
      </x:c>
      <x:c r="W7" s="18" t="str">
        <x:v>227</x:v>
      </x:c>
      <x:c r="X7" s="25" t="n">
        <x:v>227</x:v>
      </x:c>
      <x:c r="Y7" s="23" t="str">
        <x:v>单电机</x:v>
      </x:c>
      <x:c r="Z7" s="20"/>
      <x:c r="AA7" s="21"/>
      <x:c r="AB7" s="21"/>
      <x:c r="AC7" s="23" t="str">
        <x:v>型号级新增</x:v>
      </x:c>
      <x:c r="AD7" s="18" t="str">
        <x:v>https://www.miit.gov.cn/datainfo/dljdclscqyjcpgg/xcpgs412156gfgy/art/2026/art_19e871da8dd045e5b494e1df12323139.html</x:v>
      </x:c>
      <x:c r="AE7" s="18" t="str">
        <x:v>续航、电池容量、发动机功率</x:v>
      </x:c>
    </x:row>
    <x:row r="8">
      <x:c r="A8" s="22" t="n">
        <x:v>412</x:v>
      </x:c>
      <x:c r="B8" s="23" t="str">
        <x:v>公示</x:v>
      </x:c>
      <x:c r="C8" s="23" t="str">
        <x:v>纯电(BEV)</x:v>
      </x:c>
      <x:c r="D8" s="23" t="str">
        <x:v>否</x:v>
      </x:c>
      <x:c r="E8" s="18" t="str">
        <x:v>北京新能源汽车股份有限公司</x:v>
      </x:c>
      <x:c r="F8" s="18" t="str">
        <x:v>极狐牌</x:v>
      </x:c>
      <x:c r="G8" s="18"/>
      <x:c r="H8" s="18" t="str">
        <x:v>BJ6500A603SBEV</x:v>
      </x:c>
      <x:c r="I8" s="18" t="str">
        <x:v>纯电动多用途乘用车</x:v>
      </x:c>
      <x:c r="J8" s="20" t="n">
        <x:v>5020</x:v>
      </x:c>
      <x:c r="K8" s="20" t="n">
        <x:v>1996</x:v>
      </x:c>
      <x:c r="L8" s="20" t="n">
        <x:v>1685</x:v>
      </x:c>
      <x:c r="M8" s="20" t="n">
        <x:v>3040</x:v>
      </x:c>
      <x:c r="N8" s="20" t="n">
        <x:v>2050</x:v>
      </x:c>
      <x:c r="O8" s="20" t="n">
        <x:v>2425</x:v>
      </x:c>
      <x:c r="P8" s="24" t="n">
        <x:v>180</x:v>
      </x:c>
      <x:c r="Q8" s="18" t="str">
        <x:v>5</x:v>
      </x:c>
      <x:c r="R8" s="24"/>
      <x:c r="S8" s="25"/>
      <x:c r="T8" s="18" t="str">
        <x:v>磷酸铁锂蓄电池</x:v>
      </x:c>
      <x:c r="U8" s="18" t="str">
        <x:v>德时代新能源科技股份有限公司(总成)/ 时代一汽动力电池有限公司</x:v>
      </x:c>
      <x:c r="V8" s="18" t="str">
        <x:v>宁</x:v>
      </x:c>
      <x:c r="W8" s="18" t="str">
        <x:v>227</x:v>
      </x:c>
      <x:c r="X8" s="25" t="n">
        <x:v>227</x:v>
      </x:c>
      <x:c r="Y8" s="23" t="str">
        <x:v>单电机</x:v>
      </x:c>
      <x:c r="Z8" s="20"/>
      <x:c r="AA8" s="21"/>
      <x:c r="AB8" s="21"/>
      <x:c r="AC8" s="23" t="str">
        <x:v>型号级新增</x:v>
      </x:c>
      <x:c r="AD8" s="18" t="str">
        <x:v>https://www.miit.gov.cn/datainfo/dljdclscqyjcpgg/xcpgs412156gfgy/art/2026/art_d48f682fbeba4d678f8174456b3a1ebe.html</x:v>
      </x:c>
      <x:c r="AE8" s="18" t="str">
        <x:v>续航、电池容量、发动机功率</x:v>
      </x:c>
    </x:row>
    <x:row r="9">
      <x:c r="A9" s="22" t="n">
        <x:v>412</x:v>
      </x:c>
      <x:c r="B9" s="23" t="str">
        <x:v>公示</x:v>
      </x:c>
      <x:c r="C9" s="23" t="str">
        <x:v>增程(EREV)</x:v>
      </x:c>
      <x:c r="D9" s="23" t="str">
        <x:v>是</x:v>
      </x:c>
      <x:c r="E9" s="18" t="str">
        <x:v>北京新能源汽车股份有限公司</x:v>
      </x:c>
      <x:c r="F9" s="18" t="str">
        <x:v>极狐牌</x:v>
      </x:c>
      <x:c r="G9" s="18"/>
      <x:c r="H9" s="18" t="str">
        <x:v>BJ6500A602RSSHEV</x:v>
      </x:c>
      <x:c r="I9" s="18" t="str">
        <x:v>插电式增程混合动力多用途乘用车</x:v>
      </x:c>
      <x:c r="J9" s="20" t="n">
        <x:v>5020</x:v>
      </x:c>
      <x:c r="K9" s="20" t="n">
        <x:v>1996</x:v>
      </x:c>
      <x:c r="L9" s="20" t="n">
        <x:v>1685</x:v>
      </x:c>
      <x:c r="M9" s="20" t="n">
        <x:v>3040</x:v>
      </x:c>
      <x:c r="N9" s="20" t="n">
        <x:v>2010</x:v>
      </x:c>
      <x:c r="O9" s="20" t="n">
        <x:v>2385</x:v>
      </x:c>
      <x:c r="P9" s="24" t="n">
        <x:v>180</x:v>
      </x:c>
      <x:c r="Q9" s="18" t="str">
        <x:v>5</x:v>
      </x:c>
      <x:c r="R9" s="24"/>
      <x:c r="S9" s="25"/>
      <x:c r="T9" s="18" t="str">
        <x:v>磷酸铁锂蓄电池</x:v>
      </x:c>
      <x:c r="U9" s="18" t="str">
        <x:v>迅极光新能源汽车部件(北京)有限公司(总成)/时代一汽动力电池有限公司</x:v>
      </x:c>
      <x:c r="V9" s="18" t="str">
        <x:v>海</x:v>
      </x:c>
      <x:c r="W9" s="18" t="str">
        <x:v>200</x:v>
      </x:c>
      <x:c r="X9" s="25" t="n">
        <x:v>200</x:v>
      </x:c>
      <x:c r="Y9" s="23" t="str">
        <x:v>单电机</x:v>
      </x:c>
      <x:c r="Z9" s="20" t="n">
        <x:v>1498</x:v>
      </x:c>
      <x:c r="AA9" s="21" t="n">
        <x:v>77</x:v>
      </x:c>
      <x:c r="AB9" s="21"/>
      <x:c r="AC9" s="23" t="str">
        <x:v>型号级新增</x:v>
      </x:c>
      <x:c r="AD9" s="18" t="str">
        <x:v>https://www.miit.gov.cn/datainfo/dljdclscqyjcpgg/xcpgs412156gfgy/art/2026/art_6ffd0a90b9f2419ba408c8b95cb48856.html</x:v>
      </x:c>
      <x:c r="AE9" s="18" t="str">
        <x:v>续航、电池容量</x:v>
      </x:c>
    </x:row>
    <x:row r="10">
      <x:c r="A10" s="22" t="n">
        <x:v>412</x:v>
      </x:c>
      <x:c r="B10" s="23" t="str">
        <x:v>公示</x:v>
      </x:c>
      <x:c r="C10" s="23" t="str">
        <x:v>纯电(BEV)</x:v>
      </x:c>
      <x:c r="D10" s="23" t="str">
        <x:v>否</x:v>
      </x:c>
      <x:c r="E10" s="18" t="str">
        <x:v>北京新能源汽车股份有限公司</x:v>
      </x:c>
      <x:c r="F10" s="18" t="str">
        <x:v>极狐牌</x:v>
      </x:c>
      <x:c r="G10" s="18"/>
      <x:c r="H10" s="18" t="str">
        <x:v>BJ6500A605SBEV</x:v>
      </x:c>
      <x:c r="I10" s="18" t="str">
        <x:v>纯电动多用途乘用车</x:v>
      </x:c>
      <x:c r="J10" s="20" t="n">
        <x:v>5020</x:v>
      </x:c>
      <x:c r="K10" s="20" t="n">
        <x:v>1996</x:v>
      </x:c>
      <x:c r="L10" s="20" t="n">
        <x:v>1685</x:v>
      </x:c>
      <x:c r="M10" s="20" t="n">
        <x:v>3040</x:v>
      </x:c>
      <x:c r="N10" s="20" t="n">
        <x:v>2065</x:v>
      </x:c>
      <x:c r="O10" s="20" t="n">
        <x:v>2440</x:v>
      </x:c>
      <x:c r="P10" s="24" t="n">
        <x:v>180</x:v>
      </x:c>
      <x:c r="Q10" s="18" t="str">
        <x:v>5</x:v>
      </x:c>
      <x:c r="R10" s="24"/>
      <x:c r="S10" s="25"/>
      <x:c r="T10" s="18" t="str">
        <x:v>磷酸铁锂蓄电池</x:v>
      </x:c>
      <x:c r="U10" s="18" t="str">
        <x:v>迅极光新能源汽车部件（北京）有限公司(总成)/时代一汽动力电池有限公司</x:v>
      </x:c>
      <x:c r="V10" s="18" t="str">
        <x:v>海</x:v>
      </x:c>
      <x:c r="W10" s="18" t="str">
        <x:v>227</x:v>
      </x:c>
      <x:c r="X10" s="25" t="n">
        <x:v>227</x:v>
      </x:c>
      <x:c r="Y10" s="23" t="str">
        <x:v>单电机</x:v>
      </x:c>
      <x:c r="Z10" s="20"/>
      <x:c r="AA10" s="21"/>
      <x:c r="AB10" s="21"/>
      <x:c r="AC10" s="23" t="str">
        <x:v>型号级新增</x:v>
      </x:c>
      <x:c r="AD10" s="18" t="str">
        <x:v>https://www.miit.gov.cn/datainfo/dljdclscqyjcpgg/xcpgs412156gfgy/art/2026/art_06bede32beb142e9b342002146392939.html</x:v>
      </x:c>
      <x:c r="AE10" s="18" t="str">
        <x:v>续航、电池容量、发动机功率</x:v>
      </x:c>
    </x:row>
    <x:row r="11">
      <x:c r="A11" s="22" t="n">
        <x:v>412</x:v>
      </x:c>
      <x:c r="B11" s="23" t="str">
        <x:v>公示</x:v>
      </x:c>
      <x:c r="C11" s="23" t="str">
        <x:v>增程(EREV)</x:v>
      </x:c>
      <x:c r="D11" s="23" t="str">
        <x:v>是</x:v>
      </x:c>
      <x:c r="E11" s="18" t="str">
        <x:v>北京新能源汽车股份有限公司</x:v>
      </x:c>
      <x:c r="F11" s="18" t="str">
        <x:v>极狐牌</x:v>
      </x:c>
      <x:c r="G11" s="18"/>
      <x:c r="H11" s="18" t="str">
        <x:v>BJ6500A601RSSHEV</x:v>
      </x:c>
      <x:c r="I11" s="18" t="str">
        <x:v>插电式增程混合动力多用途乘用车</x:v>
      </x:c>
      <x:c r="J11" s="20" t="n">
        <x:v>5020</x:v>
      </x:c>
      <x:c r="K11" s="20" t="n">
        <x:v>1996</x:v>
      </x:c>
      <x:c r="L11" s="20" t="n">
        <x:v>1685</x:v>
      </x:c>
      <x:c r="M11" s="20" t="n">
        <x:v>3040</x:v>
      </x:c>
      <x:c r="N11" s="20" t="n">
        <x:v>2000</x:v>
      </x:c>
      <x:c r="O11" s="20" t="n">
        <x:v>2375</x:v>
      </x:c>
      <x:c r="P11" s="24" t="n">
        <x:v>180</x:v>
      </x:c>
      <x:c r="Q11" s="18" t="str">
        <x:v>5</x:v>
      </x:c>
      <x:c r="R11" s="24"/>
      <x:c r="S11" s="25"/>
      <x:c r="T11" s="18" t="str">
        <x:v>磷酸铁锂蓄电池</x:v>
      </x:c>
      <x:c r="U11" s="18" t="str">
        <x:v>德时代新能源科技股份有限公司（总成）</x:v>
      </x:c>
      <x:c r="V11" s="18" t="str">
        <x:v>宁</x:v>
      </x:c>
      <x:c r="W11" s="18" t="str">
        <x:v>200</x:v>
      </x:c>
      <x:c r="X11" s="25" t="n">
        <x:v>200</x:v>
      </x:c>
      <x:c r="Y11" s="23" t="str">
        <x:v>单电机</x:v>
      </x:c>
      <x:c r="Z11" s="20" t="n">
        <x:v>1498</x:v>
      </x:c>
      <x:c r="AA11" s="21" t="n">
        <x:v>77</x:v>
      </x:c>
      <x:c r="AB11" s="21"/>
      <x:c r="AC11" s="23" t="str">
        <x:v>型号级新增</x:v>
      </x:c>
      <x:c r="AD11" s="18" t="str">
        <x:v>https://www.miit.gov.cn/datainfo/dljdclscqyjcpgg/xcpgs412156gfgy/art/2026/art_a1ac2b5e25034ce7b9d71bc4285061ca.html</x:v>
      </x:c>
      <x:c r="AE11" s="18" t="str">
        <x:v>续航、电池容量</x:v>
      </x:c>
    </x:row>
    <x:row r="12">
      <x:c r="A12" s="22" t="n">
        <x:v>412</x:v>
      </x:c>
      <x:c r="B12" s="23" t="str">
        <x:v>公示</x:v>
      </x:c>
      <x:c r="C12" s="23" t="str">
        <x:v>增程(EREV)</x:v>
      </x:c>
      <x:c r="D12" s="23" t="str">
        <x:v>是</x:v>
      </x:c>
      <x:c r="E12" s="18" t="str">
        <x:v>北京新能源汽车股份有限公司</x:v>
      </x:c>
      <x:c r="F12" s="18" t="str">
        <x:v>极狐牌</x:v>
      </x:c>
      <x:c r="G12" s="18"/>
      <x:c r="H12" s="18" t="str">
        <x:v>BJ6500A60RSSHEV</x:v>
      </x:c>
      <x:c r="I12" s="18" t="str">
        <x:v>插电式增程混合动力多用途乘用车</x:v>
      </x:c>
      <x:c r="J12" s="20" t="n">
        <x:v>5020</x:v>
      </x:c>
      <x:c r="K12" s="20" t="n">
        <x:v>1996</x:v>
      </x:c>
      <x:c r="L12" s="20" t="n">
        <x:v>1685</x:v>
      </x:c>
      <x:c r="M12" s="20" t="n">
        <x:v>3040</x:v>
      </x:c>
      <x:c r="N12" s="20" t="n">
        <x:v>2000</x:v>
      </x:c>
      <x:c r="O12" s="20" t="n">
        <x:v>2375</x:v>
      </x:c>
      <x:c r="P12" s="24" t="n">
        <x:v>180</x:v>
      </x:c>
      <x:c r="Q12" s="18" t="str">
        <x:v>5</x:v>
      </x:c>
      <x:c r="R12" s="24"/>
      <x:c r="S12" s="25"/>
      <x:c r="T12" s="18" t="str">
        <x:v>磷酸铁锂蓄电池</x:v>
      </x:c>
      <x:c r="U12" s="18" t="str">
        <x:v>迅极光新能源汽车部件（北京）有限公司（总成）</x:v>
      </x:c>
      <x:c r="V12" s="18" t="str">
        <x:v>海</x:v>
      </x:c>
      <x:c r="W12" s="18" t="str">
        <x:v>200</x:v>
      </x:c>
      <x:c r="X12" s="25" t="n">
        <x:v>200</x:v>
      </x:c>
      <x:c r="Y12" s="23" t="str">
        <x:v>单电机</x:v>
      </x:c>
      <x:c r="Z12" s="20" t="n">
        <x:v>1498</x:v>
      </x:c>
      <x:c r="AA12" s="21" t="n">
        <x:v>77</x:v>
      </x:c>
      <x:c r="AB12" s="21"/>
      <x:c r="AC12" s="23" t="str">
        <x:v>型号级新增</x:v>
      </x:c>
      <x:c r="AD12" s="18" t="str">
        <x:v>https://www.miit.gov.cn/datainfo/dljdclscqyjcpgg/xcpgs412156gfgy/art/2026/art_917b341e45b44c85af6ef8b3f3f98af6.html</x:v>
      </x:c>
      <x:c r="AE12" s="18" t="str">
        <x:v>续航、电池容量</x:v>
      </x:c>
    </x:row>
    <x:row r="13">
      <x:c r="A13" s="22" t="n">
        <x:v>412</x:v>
      </x:c>
      <x:c r="B13" s="23" t="str">
        <x:v>公示</x:v>
      </x:c>
      <x:c r="C13" s="23" t="str">
        <x:v>插电混动(PHEV)</x:v>
      </x:c>
      <x:c r="D13" s="23" t="str">
        <x:v>否</x:v>
      </x:c>
      <x:c r="E13" s="18" t="str">
        <x:v>奇瑞汽车股份有限公司</x:v>
      </x:c>
      <x:c r="F13" s="18" t="str">
        <x:v>奇瑞牌</x:v>
      </x:c>
      <x:c r="G13" s="18" t="str">
        <x:v>风云T9L</x:v>
      </x:c>
      <x:c r="H13" s="18" t="str">
        <x:v>SQR6490CHEVT295</x:v>
      </x:c>
      <x:c r="I13" s="18" t="str">
        <x:v>插电式混合动力多用途乘用车</x:v>
      </x:c>
      <x:c r="J13" s="20" t="n">
        <x:v>4870</x:v>
      </x:c>
      <x:c r="K13" s="20" t="n">
        <x:v>1930</x:v>
      </x:c>
      <x:c r="L13" s="20" t="n">
        <x:v>1710</x:v>
      </x:c>
      <x:c r="M13" s="20" t="n">
        <x:v>2920</x:v>
      </x:c>
      <x:c r="N13" s="20" t="n">
        <x:v>2023</x:v>
      </x:c>
      <x:c r="O13" s="20" t="n">
        <x:v>2445</x:v>
      </x:c>
      <x:c r="P13" s="24" t="n">
        <x:v>180</x:v>
      </x:c>
      <x:c r="Q13" s="18" t="str">
        <x:v>5</x:v>
      </x:c>
      <x:c r="R13" s="24" t="n">
        <x:v>170</x:v>
      </x:c>
      <x:c r="S13" s="25" t="n">
        <x:v>32.659</x:v>
      </x:c>
      <x:c r="T13" s="18" t="str">
        <x:v>磷酸铁锂蓄电池</x:v>
      </x:c>
      <x:c r="U13" s="18"/>
      <x:c r="V13" s="18"/>
      <x:c r="W13" s="18"/>
      <x:c r="X13" s="25"/>
      <x:c r="Y13" s="23"/>
      <x:c r="Z13" s="20" t="n">
        <x:v>1499</x:v>
      </x:c>
      <x:c r="AA13" s="21" t="n">
        <x:v>82</x:v>
      </x:c>
      <x:c r="AB13" s="21" t="n">
        <x:v>5.5</x:v>
      </x:c>
      <x:c r="AC13" s="23" t="str">
        <x:v>型号级新增</x:v>
      </x:c>
      <x:c r="AD13" s="18" t="str">
        <x:v>https://www.miit.gov.cn/datainfo/dljdclscqyjcpgg/xcpgs412156gfgy/art/2026/art_dcdd032eec84404ca1fff1b040e2bc6e.html</x:v>
      </x:c>
      <x:c r="AE13" s="18" t="str">
        <x:v>电机功率</x:v>
      </x:c>
    </x:row>
    <x:row r="14">
      <x:c r="A14" s="22" t="n">
        <x:v>412</x:v>
      </x:c>
      <x:c r="B14" s="23" t="str">
        <x:v>公示</x:v>
      </x:c>
      <x:c r="C14" s="23" t="str">
        <x:v>插电混动(PHEV)</x:v>
      </x:c>
      <x:c r="D14" s="23" t="str">
        <x:v>否</x:v>
      </x:c>
      <x:c r="E14" s="18" t="str">
        <x:v>比亚迪汽车有限公司</x:v>
      </x:c>
      <x:c r="F14" s="18" t="str">
        <x:v>方程豹牌</x:v>
      </x:c>
      <x:c r="G14" s="18" t="str">
        <x:v>方程豹钛9</x:v>
      </x:c>
      <x:c r="H14" s="18" t="str">
        <x:v>QCJ6530BE6HEV4</x:v>
      </x:c>
      <x:c r="I14" s="18" t="str">
        <x:v>插电式混合动力多用途乘用车</x:v>
      </x:c>
      <x:c r="J14" s="20" t="n">
        <x:v>5270</x:v>
      </x:c>
      <x:c r="K14" s="20" t="n">
        <x:v>1999</x:v>
      </x:c>
      <x:c r="L14" s="20" t="n">
        <x:v>1850</x:v>
      </x:c>
      <x:c r="M14" s="20" t="n">
        <x:v>3130</x:v>
      </x:c>
      <x:c r="N14" s="20" t="n">
        <x:v>2965</x:v>
      </x:c>
      <x:c r="O14" s="20" t="n">
        <x:v>3495</x:v>
      </x:c>
      <x:c r="P14" s="24" t="n">
        <x:v>220</x:v>
      </x:c>
      <x:c r="Q14" s="18" t="str">
        <x:v>6</x:v>
      </x:c>
      <x:c r="R14" s="24" t="n">
        <x:v>310</x:v>
      </x:c>
      <x:c r="S14" s="25" t="n">
        <x:v>66.48</x:v>
      </x:c>
      <x:c r="T14" s="18" t="str">
        <x:v>磷酸铁锂蓄电池</x:v>
      </x:c>
      <x:c r="U14" s="18"/>
      <x:c r="V14" s="18"/>
      <x:c r="W14" s="18" t="str">
        <x:v>200/200</x:v>
      </x:c>
      <x:c r="X14" s="25" t="n">
        <x:v>400</x:v>
      </x:c>
      <x:c r="Y14" s="23" t="str">
        <x:v>双电机</x:v>
      </x:c>
      <x:c r="Z14" s="20" t="n">
        <x:v>1498</x:v>
      </x:c>
      <x:c r="AA14" s="21" t="n">
        <x:v>115</x:v>
      </x:c>
      <x:c r="AB14" s="21" t="n">
        <x:v>6.4</x:v>
      </x:c>
      <x:c r="AC14" s="23" t="str">
        <x:v>型号级新增</x:v>
      </x:c>
      <x:c r="AD14" s="18" t="str">
        <x:v>https://www.miit.gov.cn/datainfo/dljdclscqyjcpgg/xcpgs412156gfgy/art/2026/art_b12e47053d7941bb9dcbddb2fd333564.html</x:v>
      </x:c>
      <x:c r="AE14" s="18" t="str"/>
    </x:row>
    <x:row r="15">
      <x:c r="A15" s="22" t="n">
        <x:v>412</x:v>
      </x:c>
      <x:c r="B15" s="23" t="str">
        <x:v>公示</x:v>
      </x:c>
      <x:c r="C15" s="23" t="str">
        <x:v>纯电(BEV)</x:v>
      </x:c>
      <x:c r="D15" s="23" t="str">
        <x:v>否</x:v>
      </x:c>
      <x:c r="E15" s="18" t="str">
        <x:v>赛力斯汽车有限公司</x:v>
      </x:c>
      <x:c r="F15" s="18" t="str">
        <x:v>赛豆牌</x:v>
      </x:c>
      <x:c r="G15" s="18"/>
      <x:c r="H15" s="18" t="str">
        <x:v>SKE6502DBEVR2</x:v>
      </x:c>
      <x:c r="I15" s="18" t="str">
        <x:v>纯电动多用途乘用车</x:v>
      </x:c>
      <x:c r="J15" s="20" t="n">
        <x:v>4999</x:v>
      </x:c>
      <x:c r="K15" s="20" t="n">
        <x:v>1999</x:v>
      </x:c>
      <x:c r="L15" s="20" t="n">
        <x:v>1626</x:v>
      </x:c>
      <x:c r="M15" s="20" t="n">
        <x:v>3050</x:v>
      </x:c>
      <x:c r="N15" s="20" t="n">
        <x:v>2295</x:v>
      </x:c>
      <x:c r="O15" s="20" t="n">
        <x:v>2795</x:v>
      </x:c>
      <x:c r="P15" s="24" t="n">
        <x:v>255</x:v>
      </x:c>
      <x:c r="Q15" s="18" t="str">
        <x:v>5</x:v>
      </x:c>
      <x:c r="R15" s="24"/>
      <x:c r="S15" s="25"/>
      <x:c r="T15" s="18" t="str">
        <x:v>三元锂离子蓄电池.储能装置单体生产企业:宁德时代（江苏）新能源科技有限公司</x:v>
      </x:c>
      <x:c r="U15" s="18"/>
      <x:c r="V15" s="18"/>
      <x:c r="W15" s="18" t="str">
        <x:v>270</x:v>
      </x:c>
      <x:c r="X15" s="25" t="n">
        <x:v>270</x:v>
      </x:c>
      <x:c r="Y15" s="23" t="str">
        <x:v>单电机</x:v>
      </x:c>
      <x:c r="Z15" s="20"/>
      <x:c r="AA15" s="21"/>
      <x:c r="AB15" s="21"/>
      <x:c r="AC15" s="23" t="str">
        <x:v>型号级新增</x:v>
      </x:c>
      <x:c r="AD15" s="18" t="str">
        <x:v>https://www.miit.gov.cn/datainfo/dljdclscqyjcpgg/xcpgs412156gfgy/art/2026/art_e1e64bc06b334056bf254b99d73ce66c.html</x:v>
      </x:c>
      <x:c r="AE15" s="18" t="str">
        <x:v>续航、电池容量、发动机功率</x:v>
      </x:c>
    </x:row>
    <x:row r="16">
      <x:c r="A16" s="22" t="n">
        <x:v>412</x:v>
      </x:c>
      <x:c r="B16" s="23" t="str">
        <x:v>公示</x:v>
      </x:c>
      <x:c r="C16" s="23" t="str">
        <x:v>纯电(BEV)</x:v>
      </x:c>
      <x:c r="D16" s="23" t="str">
        <x:v>否</x:v>
      </x:c>
      <x:c r="E16" s="18" t="str">
        <x:v>赛力斯汽车有限公司</x:v>
      </x:c>
      <x:c r="F16" s="18" t="str">
        <x:v>赛豆牌</x:v>
      </x:c>
      <x:c r="G16" s="18"/>
      <x:c r="H16" s="18" t="str">
        <x:v>SKE6502DBEVA2F</x:v>
      </x:c>
      <x:c r="I16" s="18" t="str">
        <x:v>纯电动多用途乘用车</x:v>
      </x:c>
      <x:c r="J16" s="20" t="n">
        <x:v>4999</x:v>
      </x:c>
      <x:c r="K16" s="20" t="n">
        <x:v>1999</x:v>
      </x:c>
      <x:c r="L16" s="20" t="n">
        <x:v>1616</x:v>
      </x:c>
      <x:c r="M16" s="20" t="n">
        <x:v>3050</x:v>
      </x:c>
      <x:c r="N16" s="20" t="n">
        <x:v>2425</x:v>
      </x:c>
      <x:c r="O16" s="20" t="n">
        <x:v>2925</x:v>
      </x:c>
      <x:c r="P16" s="24" t="n">
        <x:v>255</x:v>
      </x:c>
      <x:c r="Q16" s="18" t="str">
        <x:v>5</x:v>
      </x:c>
      <x:c r="R16" s="24"/>
      <x:c r="S16" s="25"/>
      <x:c r="T16" s="18" t="str">
        <x:v>三元锂离子蓄电池.储能装置单体生产企业:宁德时代（江苏）新能源科技有限公司</x:v>
      </x:c>
      <x:c r="U16" s="18"/>
      <x:c r="V16" s="18"/>
      <x:c r="W16" s="18" t="str">
        <x:v>150/270</x:v>
      </x:c>
      <x:c r="X16" s="25" t="n">
        <x:v>420</x:v>
      </x:c>
      <x:c r="Y16" s="23" t="str">
        <x:v>双电机</x:v>
      </x:c>
      <x:c r="Z16" s="20"/>
      <x:c r="AA16" s="21"/>
      <x:c r="AB16" s="21"/>
      <x:c r="AC16" s="23" t="str">
        <x:v>型号级新增</x:v>
      </x:c>
      <x:c r="AD16" s="18" t="str">
        <x:v>https://www.miit.gov.cn/datainfo/dljdclscqyjcpgg/xcpgs412156gfgy/art/2026/art_74cbc14b57aa438782b3f751f280266c.html</x:v>
      </x:c>
      <x:c r="AE16" s="18" t="str">
        <x:v>续航、电池容量、发动机功率</x:v>
      </x:c>
    </x:row>
    <x:row r="17">
      <x:c r="A17" s="22" t="n">
        <x:v>412</x:v>
      </x:c>
      <x:c r="B17" s="23" t="str">
        <x:v>公示</x:v>
      </x:c>
      <x:c r="C17" s="23" t="str">
        <x:v>纯电(BEV)</x:v>
      </x:c>
      <x:c r="D17" s="23" t="str">
        <x:v>否</x:v>
      </x:c>
      <x:c r="E17" s="18" t="str">
        <x:v>上汽通用五菱汽车股份有限公司</x:v>
      </x:c>
      <x:c r="F17" s="18" t="str">
        <x:v>五菱牌</x:v>
      </x:c>
      <x:c r="G17" s="18"/>
      <x:c r="H17" s="18" t="str">
        <x:v>LZW6510BEVA2</x:v>
      </x:c>
      <x:c r="I17" s="18" t="str">
        <x:v>换电式纯电动多用途乘用车</x:v>
      </x:c>
      <x:c r="J17" s="20" t="n">
        <x:v>5125</x:v>
      </x:c>
      <x:c r="K17" s="20" t="n">
        <x:v>1840</x:v>
      </x:c>
      <x:c r="L17" s="20" t="n">
        <x:v>1975</x:v>
      </x:c>
      <x:c r="M17" s="20" t="n">
        <x:v>3230</x:v>
      </x:c>
      <x:c r="N17" s="20" t="n">
        <x:v>1825</x:v>
      </x:c>
      <x:c r="O17" s="20" t="n">
        <x:v>2505</x:v>
      </x:c>
      <x:c r="P17" s="24" t="n">
        <x:v>100</x:v>
      </x:c>
      <x:c r="Q17" s="18" t="str">
        <x:v>6</x:v>
      </x:c>
      <x:c r="R17" s="24"/>
      <x:c r="S17" s="25"/>
      <x:c r="T17" s="18" t="str">
        <x:v>磷酸铁锂蓄电池</x:v>
      </x:c>
      <x:c r="U17" s="18"/>
      <x:c r="V17" s="18"/>
      <x:c r="W17" s="18" t="str">
        <x:v>100</x:v>
      </x:c>
      <x:c r="X17" s="25" t="n">
        <x:v>100</x:v>
      </x:c>
      <x:c r="Y17" s="23" t="str">
        <x:v>单电机</x:v>
      </x:c>
      <x:c r="Z17" s="20"/>
      <x:c r="AA17" s="21"/>
      <x:c r="AB17" s="21"/>
      <x:c r="AC17" s="23" t="str">
        <x:v>型号级新增</x:v>
      </x:c>
      <x:c r="AD17" s="18" t="str">
        <x:v>https://www.miit.gov.cn/datainfo/dljdclscqyjcpgg/xcpgs412156gfgy/art/2026/art_59e08aa52b864eca9deb7bf9ffe94b55.html</x:v>
      </x:c>
      <x:c r="AE17" s="18" t="str">
        <x:v>续航、电池容量、发动机功率</x:v>
      </x:c>
    </x:row>
    <x:row r="18">
      <x:c r="A18" s="22" t="n">
        <x:v>412</x:v>
      </x:c>
      <x:c r="B18" s="23" t="str">
        <x:v>公示</x:v>
      </x:c>
      <x:c r="C18" s="23" t="str">
        <x:v>插电混动(PHEV)</x:v>
      </x:c>
      <x:c r="D18" s="23" t="str">
        <x:v>否</x:v>
      </x:c>
      <x:c r="E18" s="18" t="str">
        <x:v>奇瑞汽车股份有限公司</x:v>
      </x:c>
      <x:c r="F18" s="18" t="str">
        <x:v>奇瑞牌</x:v>
      </x:c>
      <x:c r="G18" s="18" t="str">
        <x:v>ARRIZO 7 CDM</x:v>
      </x:c>
      <x:c r="H18" s="18" t="str">
        <x:v>SQR7150CHEVM1FA</x:v>
      </x:c>
      <x:c r="I18" s="18" t="str">
        <x:v>插电式混合动力乘用车</x:v>
      </x:c>
      <x:c r="J18" s="20" t="n">
        <x:v>4739</x:v>
      </x:c>
      <x:c r="K18" s="20" t="n">
        <x:v>1850</x:v>
      </x:c>
      <x:c r="L18" s="20" t="n">
        <x:v>1498</x:v>
      </x:c>
      <x:c r="M18" s="20" t="n">
        <x:v>2770</x:v>
      </x:c>
      <x:c r="N18" s="20" t="n">
        <x:v>1598</x:v>
      </x:c>
      <x:c r="O18" s="20" t="n">
        <x:v>2048</x:v>
      </x:c>
      <x:c r="P18" s="24" t="n">
        <x:v>180</x:v>
      </x:c>
      <x:c r="Q18" s="18" t="str">
        <x:v>5</x:v>
      </x:c>
      <x:c r="R18" s="24" t="n">
        <x:v>116</x:v>
      </x:c>
      <x:c r="S18" s="25" t="n">
        <x:v>19.527</x:v>
      </x:c>
      <x:c r="T18" s="18"/>
      <x:c r="U18" s="18"/>
      <x:c r="V18" s="18"/>
      <x:c r="W18" s="18"/>
      <x:c r="X18" s="25"/>
      <x:c r="Y18" s="23"/>
      <x:c r="Z18" s="20" t="n">
        <x:v>1499</x:v>
      </x:c>
      <x:c r="AA18" s="21" t="n">
        <x:v>82</x:v>
      </x:c>
      <x:c r="AB18" s="21" t="n">
        <x:v>4.2</x:v>
      </x:c>
      <x:c r="AC18" s="23" t="str">
        <x:v>型号级新增</x:v>
      </x:c>
      <x:c r="AD18" s="18" t="str">
        <x:v>https://www.miit.gov.cn/datainfo/dljdclscqyjcpgg/xcpgs412156gfgy/art/2026/art_ff0a8343b0af423b9119936b58f97a51.html</x:v>
      </x:c>
      <x:c r="AE18" s="18" t="str">
        <x:v>电池类型、电机功率</x:v>
      </x:c>
    </x:row>
    <x:row r="19">
      <x:c r="A19" s="22" t="n">
        <x:v>412</x:v>
      </x:c>
      <x:c r="B19" s="23" t="str">
        <x:v>公示</x:v>
      </x:c>
      <x:c r="C19" s="23" t="str">
        <x:v>纯电(BEV)</x:v>
      </x:c>
      <x:c r="D19" s="23" t="str">
        <x:v>否</x:v>
      </x:c>
      <x:c r="E19" s="18" t="str">
        <x:v>奇瑞汽车股份有限公司</x:v>
      </x:c>
      <x:c r="F19" s="18" t="str">
        <x:v>智界牌</x:v>
      </x:c>
      <x:c r="G19" s="18"/>
      <x:c r="H19" s="18" t="str">
        <x:v>SQR6500BEVEHYC</x:v>
      </x:c>
      <x:c r="I19" s="18" t="str">
        <x:v>纯电动多用途乘用车</x:v>
      </x:c>
      <x:c r="J19" s="20" t="n">
        <x:v>4982</x:v>
      </x:c>
      <x:c r="K19" s="20" t="n">
        <x:v>1981</x:v>
      </x:c>
      <x:c r="L19" s="20" t="n">
        <x:v>1634</x:v>
      </x:c>
      <x:c r="M19" s="20" t="n">
        <x:v>2950</x:v>
      </x:c>
      <x:c r="N19" s="20" t="n">
        <x:v>2220</x:v>
      </x:c>
      <x:c r="O19" s="20" t="n">
        <x:v>2637</x:v>
      </x:c>
      <x:c r="P19" s="24" t="n">
        <x:v>200</x:v>
      </x:c>
      <x:c r="Q19" s="18" t="str">
        <x:v>5</x:v>
      </x:c>
      <x:c r="R19" s="24"/>
      <x:c r="S19" s="25"/>
      <x:c r="T19" s="18"/>
      <x:c r="U19" s="18"/>
      <x:c r="V19" s="18"/>
      <x:c r="W19" s="18" t="str">
        <x:v>227</x:v>
      </x:c>
      <x:c r="X19" s="25" t="n">
        <x:v>227</x:v>
      </x:c>
      <x:c r="Y19" s="23" t="str">
        <x:v>单电机</x:v>
      </x:c>
      <x:c r="Z19" s="20"/>
      <x:c r="AA19" s="21"/>
      <x:c r="AB19" s="21"/>
      <x:c r="AC19" s="23" t="str">
        <x:v>型号级新增</x:v>
      </x:c>
      <x:c r="AD19" s="18" t="str">
        <x:v>https://www.miit.gov.cn/datainfo/dljdclscqyjcpgg/xcpgs412156gfgy/art/2026/art_324cee61a1084dbdbe994708662add86.html</x:v>
      </x:c>
      <x:c r="AE19" s="18" t="str">
        <x:v>续航、电池容量、电池类型、发动机功率</x:v>
      </x:c>
    </x:row>
    <x:row r="20">
      <x:c r="A20" s="22" t="n">
        <x:v>412</x:v>
      </x:c>
      <x:c r="B20" s="23" t="str">
        <x:v>公示</x:v>
      </x:c>
      <x:c r="C20" s="23" t="str">
        <x:v>纯电(BEV)</x:v>
      </x:c>
      <x:c r="D20" s="23" t="str">
        <x:v>否</x:v>
      </x:c>
      <x:c r="E20" s="18" t="str">
        <x:v>比亚迪汽车工业有限公司</x:v>
      </x:c>
      <x:c r="F20" s="18" t="str">
        <x:v>比亚迪牌</x:v>
      </x:c>
      <x:c r="G20" s="18"/>
      <x:c r="H20" s="18" t="str">
        <x:v>BYD6510BNBEV5</x:v>
      </x:c>
      <x:c r="I20" s="18" t="str">
        <x:v>纯电动多用途乘用车</x:v>
      </x:c>
      <x:c r="J20" s="20" t="n">
        <x:v>5115</x:v>
      </x:c>
      <x:c r="K20" s="20" t="n">
        <x:v>1999</x:v>
      </x:c>
      <x:c r="L20" s="20" t="n">
        <x:v>1800</x:v>
      </x:c>
      <x:c r="M20" s="20" t="n">
        <x:v>3030</x:v>
      </x:c>
      <x:c r="N20" s="20" t="n">
        <x:v>2645</x:v>
      </x:c>
      <x:c r="O20" s="20" t="n">
        <x:v>3156</x:v>
      </x:c>
      <x:c r="P20" s="24" t="n">
        <x:v>240</x:v>
      </x:c>
      <x:c r="Q20" s="18" t="str">
        <x:v>6</x:v>
      </x:c>
      <x:c r="R20" s="24"/>
      <x:c r="S20" s="25"/>
      <x:c r="T20" s="18" t="str">
        <x:v>磷酸铁锂蓄电池.储能装置单体生产企业:无为弗迪电池有限公司</x:v>
      </x:c>
      <x:c r="U20" s="18"/>
      <x:c r="V20" s="18"/>
      <x:c r="W20" s="18" t="str">
        <x:v>370</x:v>
      </x:c>
      <x:c r="X20" s="25" t="n">
        <x:v>370</x:v>
      </x:c>
      <x:c r="Y20" s="23" t="str">
        <x:v>单电机</x:v>
      </x:c>
      <x:c r="Z20" s="20"/>
      <x:c r="AA20" s="21"/>
      <x:c r="AB20" s="21"/>
      <x:c r="AC20" s="23" t="str">
        <x:v>型号级新增</x:v>
      </x:c>
      <x:c r="AD20" s="18" t="str">
        <x:v>https://www.miit.gov.cn/datainfo/dljdclscqyjcpgg/xcpgs412156gfgy/art/2026/art_ab166978054b4d85ba21b0b88d95cda2.html</x:v>
      </x:c>
      <x:c r="AE20" s="18" t="str">
        <x:v>续航、电池容量、发动机功率</x:v>
      </x:c>
    </x:row>
    <x:row r="21">
      <x:c r="A21" s="22" t="n">
        <x:v>412</x:v>
      </x:c>
      <x:c r="B21" s="23" t="str">
        <x:v>公示</x:v>
      </x:c>
      <x:c r="C21" s="23" t="str">
        <x:v>纯电(BEV)</x:v>
      </x:c>
      <x:c r="D21" s="23" t="str">
        <x:v>否</x:v>
      </x:c>
      <x:c r="E21" s="18" t="str">
        <x:v>奇瑞汽车股份有限公司</x:v>
      </x:c>
      <x:c r="F21" s="18" t="str">
        <x:v>智界牌</x:v>
      </x:c>
      <x:c r="G21" s="18"/>
      <x:c r="H21" s="18" t="str">
        <x:v>SQR6500BEVEHYA</x:v>
      </x:c>
      <x:c r="I21" s="18" t="str">
        <x:v>纯电动多用途乘用车</x:v>
      </x:c>
      <x:c r="J21" s="20" t="n">
        <x:v>4982</x:v>
      </x:c>
      <x:c r="K21" s="20" t="n">
        <x:v>1981</x:v>
      </x:c>
      <x:c r="L21" s="20" t="n">
        <x:v>1634</x:v>
      </x:c>
      <x:c r="M21" s="20" t="n">
        <x:v>2950</x:v>
      </x:c>
      <x:c r="N21" s="20" t="n">
        <x:v>2275</x:v>
      </x:c>
      <x:c r="O21" s="20" t="n">
        <x:v>2692</x:v>
      </x:c>
      <x:c r="P21" s="24" t="n">
        <x:v>200</x:v>
      </x:c>
      <x:c r="Q21" s="18" t="str">
        <x:v>5</x:v>
      </x:c>
      <x:c r="R21" s="24"/>
      <x:c r="S21" s="25"/>
      <x:c r="T21" s="18"/>
      <x:c r="U21" s="18"/>
      <x:c r="V21" s="18"/>
      <x:c r="W21" s="18" t="str">
        <x:v>227</x:v>
      </x:c>
      <x:c r="X21" s="25" t="n">
        <x:v>227</x:v>
      </x:c>
      <x:c r="Y21" s="23" t="str">
        <x:v>单电机</x:v>
      </x:c>
      <x:c r="Z21" s="20"/>
      <x:c r="AA21" s="21"/>
      <x:c r="AB21" s="21"/>
      <x:c r="AC21" s="23" t="str">
        <x:v>型号级新增</x:v>
      </x:c>
      <x:c r="AD21" s="18" t="str">
        <x:v>https://www.miit.gov.cn/datainfo/dljdclscqyjcpgg/xcpgs412156gfgy/art/2026/art_4077d17d807c43f6b55277d7855eb8a9.html</x:v>
      </x:c>
      <x:c r="AE21" s="18" t="str">
        <x:v>续航、电池容量、电池类型、发动机功率</x:v>
      </x:c>
    </x:row>
    <x:row r="22">
      <x:c r="A22" s="22" t="n">
        <x:v>412</x:v>
      </x:c>
      <x:c r="B22" s="23" t="str">
        <x:v>公示</x:v>
      </x:c>
      <x:c r="C22" s="23" t="str">
        <x:v>纯电(BEV)</x:v>
      </x:c>
      <x:c r="D22" s="23" t="str">
        <x:v>否</x:v>
      </x:c>
      <x:c r="E22" s="18" t="str">
        <x:v>光束汽车有限公司</x:v>
      </x:c>
      <x:c r="F22" s="18" t="str">
        <x:v>欧拉牌</x:v>
      </x:c>
      <x:c r="G22" s="18"/>
      <x:c r="H22" s="18" t="str">
        <x:v>SAL7001BH01ABEV</x:v>
      </x:c>
      <x:c r="I22" s="18" t="str">
        <x:v>纯电动轿车</x:v>
      </x:c>
      <x:c r="J22" s="20" t="n">
        <x:v>4890</x:v>
      </x:c>
      <x:c r="K22" s="20" t="n">
        <x:v>1850</x:v>
      </x:c>
      <x:c r="L22" s="20" t="n">
        <x:v>1503</x:v>
      </x:c>
      <x:c r="M22" s="20" t="n">
        <x:v>2870</x:v>
      </x:c>
      <x:c r="N22" s="20" t="n">
        <x:v>1850</x:v>
      </x:c>
      <x:c r="O22" s="20" t="n">
        <x:v>2245</x:v>
      </x:c>
      <x:c r="P22" s="24" t="n">
        <x:v>180</x:v>
      </x:c>
      <x:c r="Q22" s="18" t="str">
        <x:v>5</x:v>
      </x:c>
      <x:c r="R22" s="24"/>
      <x:c r="S22" s="25"/>
      <x:c r="T22" s="18" t="str">
        <x:v>磷酸铁锂蓄电池</x:v>
      </x:c>
      <x:c r="U22" s="18"/>
      <x:c r="V22" s="18"/>
      <x:c r="W22" s="18" t="str">
        <x:v>160</x:v>
      </x:c>
      <x:c r="X22" s="25" t="n">
        <x:v>160</x:v>
      </x:c>
      <x:c r="Y22" s="23" t="str">
        <x:v>单电机</x:v>
      </x:c>
      <x:c r="Z22" s="20"/>
      <x:c r="AA22" s="21"/>
      <x:c r="AB22" s="21"/>
      <x:c r="AC22" s="23" t="str">
        <x:v>型号级新增</x:v>
      </x:c>
      <x:c r="AD22" s="18" t="str">
        <x:v>https://www.miit.gov.cn/datainfo/dljdclscqyjcpgg/xcpgs412156gfgy/art/2026/art_1ef42e1050044d838584e5e8cc4bf20e.html</x:v>
      </x:c>
      <x:c r="AE22" s="18" t="str">
        <x:v>续航、电池容量、发动机功率</x:v>
      </x:c>
    </x:row>
    <x:row r="23">
      <x:c r="A23" s="22" t="n">
        <x:v>412</x:v>
      </x:c>
      <x:c r="B23" s="23" t="str">
        <x:v>公示</x:v>
      </x:c>
      <x:c r="C23" s="23" t="str">
        <x:v>纯电(BEV)</x:v>
      </x:c>
      <x:c r="D23" s="23" t="str">
        <x:v>否</x:v>
      </x:c>
      <x:c r="E23" s="18" t="str">
        <x:v>东风汽车集团有限公司</x:v>
      </x:c>
      <x:c r="F23" s="18" t="str">
        <x:v>奕境牌</x:v>
      </x:c>
      <x:c r="G23" s="18"/>
      <x:c r="H23" s="18" t="str">
        <x:v>DFM6531S5F1BEV</x:v>
      </x:c>
      <x:c r="I23" s="18" t="str">
        <x:v>纯电动多用途乘用车</x:v>
      </x:c>
      <x:c r="J23" s="20" t="n">
        <x:v>5301</x:v>
      </x:c>
      <x:c r="K23" s="20" t="n">
        <x:v>2015</x:v>
      </x:c>
      <x:c r="L23" s="20" t="n">
        <x:v>1805</x:v>
      </x:c>
      <x:c r="M23" s="20" t="n">
        <x:v>3120</x:v>
      </x:c>
      <x:c r="N23" s="20" t="n">
        <x:v>2877</x:v>
      </x:c>
      <x:c r="O23" s="20" t="n">
        <x:v>3357</x:v>
      </x:c>
      <x:c r="P23" s="24" t="n">
        <x:v>200</x:v>
      </x:c>
      <x:c r="Q23" s="18" t="str">
        <x:v>6</x:v>
      </x:c>
      <x:c r="R23" s="24"/>
      <x:c r="S23" s="25"/>
      <x:c r="T23" s="18"/>
      <x:c r="U23" s="18"/>
      <x:c r="V23" s="18"/>
      <x:c r="W23" s="18" t="str">
        <x:v>150</x:v>
      </x:c>
      <x:c r="X23" s="25" t="n">
        <x:v>150</x:v>
      </x:c>
      <x:c r="Y23" s="23" t="str">
        <x:v>单电机</x:v>
      </x:c>
      <x:c r="Z23" s="20"/>
      <x:c r="AA23" s="21"/>
      <x:c r="AB23" s="21"/>
      <x:c r="AC23" s="23" t="str">
        <x:v>型号级新增</x:v>
      </x:c>
      <x:c r="AD23" s="18" t="str">
        <x:v>https://www.miit.gov.cn/datainfo/dljdclscqyjcpgg/xcpgs412156gfgy/art/2026/art_405489c8e3bc4fe0a7078f2ebc903060.html</x:v>
      </x:c>
      <x:c r="AE23" s="18" t="str">
        <x:v>续航、电池容量、电池类型、发动机功率</x:v>
      </x:c>
    </x:row>
    <x:row r="24">
      <x:c r="A24" s="22" t="n">
        <x:v>412</x:v>
      </x:c>
      <x:c r="B24" s="23" t="str">
        <x:v>公示</x:v>
      </x:c>
      <x:c r="C24" s="23" t="str">
        <x:v>插电混动(PHEV)</x:v>
      </x:c>
      <x:c r="D24" s="23" t="str">
        <x:v>否</x:v>
      </x:c>
      <x:c r="E24" s="18" t="str">
        <x:v>江铃汽车股份有限公司</x:v>
      </x:c>
      <x:c r="F24" s="18" t="str">
        <x:v>江铃全顺牌</x:v>
      </x:c>
      <x:c r="G24" s="18"/>
      <x:c r="H24" s="18" t="str">
        <x:v>JX6503P-L6PHEV</x:v>
      </x:c>
      <x:c r="I24" s="18" t="str">
        <x:v>插电式混合动力多用途乘用车</x:v>
      </x:c>
      <x:c r="J24" s="20" t="n">
        <x:v>4974</x:v>
      </x:c>
      <x:c r="K24" s="20" t="n">
        <x:v>1986</x:v>
      </x:c>
      <x:c r="L24" s="20" t="n">
        <x:v>2390</x:v>
      </x:c>
      <x:c r="M24" s="20" t="n">
        <x:v>2933</x:v>
      </x:c>
      <x:c r="N24" s="20" t="n">
        <x:v>2380</x:v>
      </x:c>
      <x:c r="O24" s="20" t="n">
        <x:v>3550</x:v>
      </x:c>
      <x:c r="P24" s="24" t="n">
        <x:v>180</x:v>
      </x:c>
      <x:c r="Q24" s="18" t="str">
        <x:v>5,6,7,8</x:v>
      </x:c>
      <x:c r="R24" s="24"/>
      <x:c r="S24" s="25"/>
      <x:c r="T24" s="18"/>
      <x:c r="U24" s="18"/>
      <x:c r="V24" s="18"/>
      <x:c r="W24" s="18" t="str">
        <x:v>170</x:v>
      </x:c>
      <x:c r="X24" s="25" t="n">
        <x:v>170</x:v>
      </x:c>
      <x:c r="Y24" s="23" t="str">
        <x:v>单电机</x:v>
      </x:c>
      <x:c r="Z24" s="20" t="n">
        <x:v>1998</x:v>
      </x:c>
      <x:c r="AA24" s="21" t="n">
        <x:v>155</x:v>
      </x:c>
      <x:c r="AB24" s="21"/>
      <x:c r="AC24" s="23" t="str">
        <x:v>型号级新增</x:v>
      </x:c>
      <x:c r="AD24" s="18" t="str">
        <x:v>https://www.miit.gov.cn/datainfo/dljdclscqyjcpgg/xcpgs412156gfgy/art/2026/art_68790fb17cec410dbd7e8822ad497925.html</x:v>
      </x:c>
      <x:c r="AE24" s="18" t="str">
        <x:v>续航、电池容量、电池类型</x:v>
      </x:c>
    </x:row>
    <x:row r="25">
      <x:c r="A25" s="22" t="n">
        <x:v>412</x:v>
      </x:c>
      <x:c r="B25" s="23" t="str">
        <x:v>公示</x:v>
      </x:c>
      <x:c r="C25" s="23" t="str">
        <x:v>纯电(BEV)</x:v>
      </x:c>
      <x:c r="D25" s="23" t="str">
        <x:v>否</x:v>
      </x:c>
      <x:c r="E25" s="18" t="str">
        <x:v>奇瑞汽车股份有限公司</x:v>
      </x:c>
      <x:c r="F25" s="18" t="str">
        <x:v>奇瑞牌</x:v>
      </x:c>
      <x:c r="G25" s="18"/>
      <x:c r="H25" s="18" t="str">
        <x:v>SQR6460BEVT1Q1</x:v>
      </x:c>
      <x:c r="I25" s="18" t="str">
        <x:v>纯电动多用途乘用车</x:v>
      </x:c>
      <x:c r="J25" s="20" t="n">
        <x:v>4570</x:v>
      </x:c>
      <x:c r="K25" s="20" t="n">
        <x:v>1852</x:v>
      </x:c>
      <x:c r="L25" s="20" t="n">
        <x:v>1694</x:v>
      </x:c>
      <x:c r="M25" s="20" t="n">
        <x:v>2700</x:v>
      </x:c>
      <x:c r="N25" s="20" t="n">
        <x:v>1795</x:v>
      </x:c>
      <x:c r="O25" s="20" t="n">
        <x:v>2223</x:v>
      </x:c>
      <x:c r="P25" s="24" t="n">
        <x:v>180</x:v>
      </x:c>
      <x:c r="Q25" s="18" t="str">
        <x:v>5</x:v>
      </x:c>
      <x:c r="R25" s="24"/>
      <x:c r="S25" s="25"/>
      <x:c r="T25" s="18"/>
      <x:c r="U25" s="18"/>
      <x:c r="V25" s="18"/>
      <x:c r="W25" s="18" t="str">
        <x:v>178</x:v>
      </x:c>
      <x:c r="X25" s="25" t="n">
        <x:v>178</x:v>
      </x:c>
      <x:c r="Y25" s="23" t="str">
        <x:v>单电机</x:v>
      </x:c>
      <x:c r="Z25" s="20"/>
      <x:c r="AA25" s="21"/>
      <x:c r="AB25" s="21"/>
      <x:c r="AC25" s="23" t="str">
        <x:v>型号级新增</x:v>
      </x:c>
      <x:c r="AD25" s="18" t="str">
        <x:v>https://www.miit.gov.cn/datainfo/dljdclscqyjcpgg/xcpgs412156gfgy/art/2026/art_4bd8450dcfea4a38a4c7c507eb28b515.html</x:v>
      </x:c>
      <x:c r="AE25" s="18" t="str">
        <x:v>续航、电池容量、电池类型、发动机功率</x:v>
      </x:c>
    </x:row>
    <x:row r="26">
      <x:c r="A26" s="22" t="n">
        <x:v>412</x:v>
      </x:c>
      <x:c r="B26" s="23" t="str">
        <x:v>公示</x:v>
      </x:c>
      <x:c r="C26" s="23" t="str">
        <x:v>插电混动(PHEV)</x:v>
      </x:c>
      <x:c r="D26" s="23" t="str">
        <x:v>否</x:v>
      </x:c>
      <x:c r="E26" s="18" t="str">
        <x:v>江铃汽车股份有限公司</x:v>
      </x:c>
      <x:c r="F26" s="18" t="str">
        <x:v>江铃全顺牌</x:v>
      </x:c>
      <x:c r="G26" s="18"/>
      <x:c r="H26" s="18" t="str">
        <x:v>JX6533P-M6PHEV</x:v>
      </x:c>
      <x:c r="I26" s="18" t="str">
        <x:v>插电式混合动力多用途乘用车</x:v>
      </x:c>
      <x:c r="J26" s="20" t="n">
        <x:v>5341</x:v>
      </x:c>
      <x:c r="K26" s="20" t="n">
        <x:v>1986</x:v>
      </x:c>
      <x:c r="L26" s="20" t="n">
        <x:v>2030</x:v>
      </x:c>
      <x:c r="M26" s="20" t="n">
        <x:v>3300</x:v>
      </x:c>
      <x:c r="N26" s="20" t="n">
        <x:v>2430</x:v>
      </x:c>
      <x:c r="O26" s="20" t="n">
        <x:v>3800</x:v>
      </x:c>
      <x:c r="P26" s="24" t="n">
        <x:v>180</x:v>
      </x:c>
      <x:c r="Q26" s="18" t="str">
        <x:v>5,6,7,8,9</x:v>
      </x:c>
      <x:c r="R26" s="24"/>
      <x:c r="S26" s="25"/>
      <x:c r="T26" s="18"/>
      <x:c r="U26" s="18"/>
      <x:c r="V26" s="18"/>
      <x:c r="W26" s="18" t="str">
        <x:v>170</x:v>
      </x:c>
      <x:c r="X26" s="25" t="n">
        <x:v>170</x:v>
      </x:c>
      <x:c r="Y26" s="23" t="str">
        <x:v>单电机</x:v>
      </x:c>
      <x:c r="Z26" s="20" t="n">
        <x:v>1998</x:v>
      </x:c>
      <x:c r="AA26" s="21" t="n">
        <x:v>155</x:v>
      </x:c>
      <x:c r="AB26" s="21"/>
      <x:c r="AC26" s="23" t="str">
        <x:v>型号级新增</x:v>
      </x:c>
      <x:c r="AD26" s="18" t="str">
        <x:v>https://www.miit.gov.cn/datainfo/dljdclscqyjcpgg/xcpgs412156gfgy/art/2026/art_97a6393af30f4088a7fdba81bda5096b.html</x:v>
      </x:c>
      <x:c r="AE26" s="18" t="str">
        <x:v>续航、电池容量、电池类型</x:v>
      </x:c>
    </x:row>
    <x:row r="27">
      <x:c r="A27" s="22" t="n">
        <x:v>412</x:v>
      </x:c>
      <x:c r="B27" s="23" t="str">
        <x:v>公示</x:v>
      </x:c>
      <x:c r="C27" s="23" t="str">
        <x:v>纯电(BEV)</x:v>
      </x:c>
      <x:c r="D27" s="23" t="str">
        <x:v>否</x:v>
      </x:c>
      <x:c r="E27" s="18" t="str">
        <x:v>奇瑞汽车股份有限公司</x:v>
      </x:c>
      <x:c r="F27" s="18" t="str">
        <x:v>星途牌</x:v>
      </x:c>
      <x:c r="G27" s="18"/>
      <x:c r="H27" s="18" t="str">
        <x:v>SQR6500BEVE0YC</x:v>
      </x:c>
      <x:c r="I27" s="18" t="str">
        <x:v>纯电动多用途乘用车</x:v>
      </x:c>
      <x:c r="J27" s="20" t="n">
        <x:v>4988</x:v>
      </x:c>
      <x:c r="K27" s="20" t="n">
        <x:v>1975</x:v>
      </x:c>
      <x:c r="L27" s="20" t="n">
        <x:v>1705</x:v>
      </x:c>
      <x:c r="M27" s="20" t="n">
        <x:v>3000</x:v>
      </x:c>
      <x:c r="N27" s="20" t="n">
        <x:v>2280</x:v>
      </x:c>
      <x:c r="O27" s="20" t="n">
        <x:v>2730</x:v>
      </x:c>
      <x:c r="P27" s="24" t="n">
        <x:v>200</x:v>
      </x:c>
      <x:c r="Q27" s="18" t="str">
        <x:v>5</x:v>
      </x:c>
      <x:c r="R27" s="24"/>
      <x:c r="S27" s="25"/>
      <x:c r="T27" s="18"/>
      <x:c r="U27" s="18"/>
      <x:c r="V27" s="18"/>
      <x:c r="W27" s="18" t="str">
        <x:v>230</x:v>
      </x:c>
      <x:c r="X27" s="25" t="n">
        <x:v>230</x:v>
      </x:c>
      <x:c r="Y27" s="23" t="str">
        <x:v>单电机</x:v>
      </x:c>
      <x:c r="Z27" s="20"/>
      <x:c r="AA27" s="21"/>
      <x:c r="AB27" s="21"/>
      <x:c r="AC27" s="23" t="str">
        <x:v>型号级新增</x:v>
      </x:c>
      <x:c r="AD27" s="18" t="str">
        <x:v>https://www.miit.gov.cn/datainfo/dljdclscqyjcpgg/xcpgs412156gfgy/art/2026/art_6002e14221064408ae210a02b4503ff4.html</x:v>
      </x:c>
      <x:c r="AE27" s="18" t="str">
        <x:v>续航、电池容量、电池类型、发动机功率</x:v>
      </x:c>
    </x:row>
    <x:row r="28">
      <x:c r="A28" s="22" t="n">
        <x:v>412</x:v>
      </x:c>
      <x:c r="B28" s="23" t="str">
        <x:v>公示</x:v>
      </x:c>
      <x:c r="C28" s="23" t="str">
        <x:v>插电混动(PHEV)</x:v>
      </x:c>
      <x:c r="D28" s="23" t="str">
        <x:v>否</x:v>
      </x:c>
      <x:c r="E28" s="18" t="str">
        <x:v>浙江吉利汽车有限公司</x:v>
      </x:c>
      <x:c r="F28" s="18" t="str">
        <x:v>吉利牌</x:v>
      </x:c>
      <x:c r="G28" s="18" t="str">
        <x:v>银河战舰700</x:v>
      </x:c>
      <x:c r="H28" s="18" t="str">
        <x:v>MR2031DCHEV101</x:v>
      </x:c>
      <x:c r="I28" s="18" t="str">
        <x:v>插电式混合动力越野乘用车</x:v>
      </x:c>
      <x:c r="J28" s="20" t="n">
        <x:v>5085</x:v>
      </x:c>
      <x:c r="K28" s="20" t="n">
        <x:v>1999</x:v>
      </x:c>
      <x:c r="L28" s="20" t="n">
        <x:v>1912</x:v>
      </x:c>
      <x:c r="M28" s="20" t="n">
        <x:v>2900</x:v>
      </x:c>
      <x:c r="N28" s="20" t="n">
        <x:v>2870</x:v>
      </x:c>
      <x:c r="O28" s="20" t="n">
        <x:v>3370</x:v>
      </x:c>
      <x:c r="P28" s="24" t="n">
        <x:v>220</x:v>
      </x:c>
      <x:c r="Q28" s="18" t="str">
        <x:v>5</x:v>
      </x:c>
      <x:c r="R28" s="24" t="n">
        <x:v>165</x:v>
      </x:c>
      <x:c r="S28" s="25" t="n">
        <x:v>47.14</x:v>
      </x:c>
      <x:c r="T28" s="18" t="str">
        <x:v>磷酸铁锂电池</x:v>
      </x:c>
      <x:c r="U28" s="18"/>
      <x:c r="V28" s="18"/>
      <x:c r="W28" s="18"/>
      <x:c r="X28" s="25"/>
      <x:c r="Y28" s="23"/>
      <x:c r="Z28" s="20" t="n">
        <x:v>1999</x:v>
      </x:c>
      <x:c r="AA28" s="21" t="n">
        <x:v>160</x:v>
      </x:c>
      <x:c r="AB28" s="21" t="n">
        <x:v>7.25</x:v>
      </x:c>
      <x:c r="AC28" s="23" t="str">
        <x:v>型号级新增</x:v>
      </x:c>
      <x:c r="AD28" s="18" t="str">
        <x:v>https://www.miit.gov.cn/datainfo/dljdclscqyjcpgg/xcpgs412156gfgy/art/2026/art_0d4866d9416f4b55aaf3557730b715a4.html</x:v>
      </x:c>
      <x:c r="AE28" s="18" t="str">
        <x:v>电机功率</x:v>
      </x:c>
    </x:row>
    <x:row r="29">
      <x:c r="A29" s="22" t="n">
        <x:v>412</x:v>
      </x:c>
      <x:c r="B29" s="23" t="str">
        <x:v>公示</x:v>
      </x:c>
      <x:c r="C29" s="23" t="str">
        <x:v>纯电(BEV)</x:v>
      </x:c>
      <x:c r="D29" s="23" t="str">
        <x:v>否</x:v>
      </x:c>
      <x:c r="E29" s="18" t="str">
        <x:v>广汽埃安新能源汽车股份有限公司</x:v>
      </x:c>
      <x:c r="F29" s="18" t="str">
        <x:v>埃安(AION)牌</x:v>
      </x:c>
      <x:c r="G29" s="18"/>
      <x:c r="H29" s="18" t="str">
        <x:v>AHC6470BEVJ1B</x:v>
      </x:c>
      <x:c r="I29" s="18" t="str">
        <x:v>纯电动多用途乘用车</x:v>
      </x:c>
      <x:c r="J29" s="20" t="n">
        <x:v>4685</x:v>
      </x:c>
      <x:c r="K29" s="20" t="n">
        <x:v>1854</x:v>
      </x:c>
      <x:c r="L29" s="20" t="n">
        <x:v>1660</x:v>
      </x:c>
      <x:c r="M29" s="20" t="n">
        <x:v>2775</x:v>
      </x:c>
      <x:c r="N29" s="20" t="n">
        <x:v>1825</x:v>
      </x:c>
      <x:c r="O29" s="20" t="n">
        <x:v>2280</x:v>
      </x:c>
      <x:c r="P29" s="24" t="n">
        <x:v>160</x:v>
      </x:c>
      <x:c r="Q29" s="18" t="str">
        <x:v>5</x:v>
      </x:c>
      <x:c r="R29" s="24"/>
      <x:c r="S29" s="25"/>
      <x:c r="T29" s="18" t="str">
        <x:v>磷酸铁锂蓄电池</x:v>
      </x:c>
      <x:c r="U29" s="18"/>
      <x:c r="V29" s="18"/>
      <x:c r="W29" s="18" t="str">
        <x:v>165</x:v>
      </x:c>
      <x:c r="X29" s="25" t="n">
        <x:v>165</x:v>
      </x:c>
      <x:c r="Y29" s="23" t="str">
        <x:v>单电机</x:v>
      </x:c>
      <x:c r="Z29" s="20"/>
      <x:c r="AA29" s="21"/>
      <x:c r="AB29" s="21"/>
      <x:c r="AC29" s="23" t="str">
        <x:v>型号级新增</x:v>
      </x:c>
      <x:c r="AD29" s="18" t="str">
        <x:v>https://www.miit.gov.cn/datainfo/dljdclscqyjcpgg/xcpgs412156gfgy/art/2026/art_7e605c54085f4e388dfa526adfa0e0b8.html</x:v>
      </x:c>
      <x:c r="AE29" s="18" t="str">
        <x:v>续航、电池容量、发动机功率</x:v>
      </x:c>
    </x:row>
    <x:row r="30">
      <x:c r="A30" s="22" t="n">
        <x:v>412</x:v>
      </x:c>
      <x:c r="B30" s="23" t="str">
        <x:v>公示</x:v>
      </x:c>
      <x:c r="C30" s="23" t="str">
        <x:v>纯电(BEV)</x:v>
      </x:c>
      <x:c r="D30" s="23" t="str">
        <x:v>否</x:v>
      </x:c>
      <x:c r="E30" s="18" t="str">
        <x:v>东风汽车集团有限公司</x:v>
      </x:c>
      <x:c r="F30" s="18" t="str">
        <x:v>奕境牌</x:v>
      </x:c>
      <x:c r="G30" s="18"/>
      <x:c r="H30" s="18" t="str">
        <x:v>DFM6531S5F0BEV</x:v>
      </x:c>
      <x:c r="I30" s="18" t="str">
        <x:v>纯电动多用途乘用车</x:v>
      </x:c>
      <x:c r="J30" s="20" t="n">
        <x:v>5301</x:v>
      </x:c>
      <x:c r="K30" s="20" t="n">
        <x:v>2015</x:v>
      </x:c>
      <x:c r="L30" s="20" t="n">
        <x:v>1820</x:v>
      </x:c>
      <x:c r="M30" s="20" t="n">
        <x:v>3120</x:v>
      </x:c>
      <x:c r="N30" s="20" t="n">
        <x:v>2723</x:v>
      </x:c>
      <x:c r="O30" s="20" t="n">
        <x:v>3203</x:v>
      </x:c>
      <x:c r="P30" s="24" t="n">
        <x:v>200</x:v>
      </x:c>
      <x:c r="Q30" s="18" t="str">
        <x:v>6</x:v>
      </x:c>
      <x:c r="R30" s="24"/>
      <x:c r="S30" s="25"/>
      <x:c r="T30" s="18"/>
      <x:c r="U30" s="18"/>
      <x:c r="V30" s="18"/>
      <x:c r="W30" s="18" t="str">
        <x:v>300</x:v>
      </x:c>
      <x:c r="X30" s="25" t="n">
        <x:v>300</x:v>
      </x:c>
      <x:c r="Y30" s="23" t="str">
        <x:v>单电机</x:v>
      </x:c>
      <x:c r="Z30" s="20"/>
      <x:c r="AA30" s="21"/>
      <x:c r="AB30" s="21"/>
      <x:c r="AC30" s="23" t="str">
        <x:v>型号级新增</x:v>
      </x:c>
      <x:c r="AD30" s="18" t="str">
        <x:v>https://www.miit.gov.cn/datainfo/dljdclscqyjcpgg/xcpgs412156gfgy/art/2026/art_c92eb94f68054635ad432ef4a90726dd.html</x:v>
      </x:c>
      <x:c r="AE30" s="18" t="str">
        <x:v>续航、电池容量、电池类型、发动机功率</x:v>
      </x:c>
    </x:row>
    <x:row r="31">
      <x:c r="A31" s="22" t="n">
        <x:v>412</x:v>
      </x:c>
      <x:c r="B31" s="23" t="str">
        <x:v>公示</x:v>
      </x:c>
      <x:c r="C31" s="23" t="str">
        <x:v>插电混动(PHEV)</x:v>
      </x:c>
      <x:c r="D31" s="23" t="str">
        <x:v>否</x:v>
      </x:c>
      <x:c r="E31" s="18" t="str">
        <x:v>长城汽车股份有限公司</x:v>
      </x:c>
      <x:c r="F31" s="18" t="str">
        <x:v>魏牌牌</x:v>
      </x:c>
      <x:c r="G31" s="18" t="str">
        <x:v>V8X</x:v>
      </x:c>
      <x:c r="H31" s="18" t="str">
        <x:v>CC6520DG20BPHEV</x:v>
      </x:c>
      <x:c r="I31" s="18" t="str">
        <x:v>插电式混合动力多用途乘用车</x:v>
      </x:c>
      <x:c r="J31" s="20" t="n">
        <x:v>5125</x:v>
      </x:c>
      <x:c r="K31" s="20" t="n">
        <x:v>2025</x:v>
      </x:c>
      <x:c r="L31" s="20" t="n">
        <x:v>1821</x:v>
      </x:c>
      <x:c r="M31" s="20" t="n">
        <x:v>3050</x:v>
      </x:c>
      <x:c r="N31" s="20" t="n">
        <x:v>2685</x:v>
      </x:c>
      <x:c r="O31" s="20" t="n">
        <x:v>3130</x:v>
      </x:c>
      <x:c r="P31" s="24" t="n">
        <x:v>210</x:v>
      </x:c>
      <x:c r="Q31" s="18" t="str">
        <x:v>5</x:v>
      </x:c>
      <x:c r="R31" s="24" t="n">
        <x:v>312</x:v>
      </x:c>
      <x:c r="S31" s="25" t="n">
        <x:v>64.7</x:v>
      </x:c>
      <x:c r="T31" s="18" t="str">
        <x:v>镍钴锰三元锂蓄电池</x:v>
      </x:c>
      <x:c r="U31" s="18" t="str">
        <x:v>巢能源科技股份有限公司(单体)/蜂巢能源科技股份有限公司(总成)</x:v>
      </x:c>
      <x:c r="V31" s="18" t="str">
        <x:v>蜂</x:v>
      </x:c>
      <x:c r="W31" s="18"/>
      <x:c r="X31" s="25"/>
      <x:c r="Y31" s="23"/>
      <x:c r="Z31" s="20" t="n">
        <x:v>1499</x:v>
      </x:c>
      <x:c r="AA31" s="21" t="n">
        <x:v>125</x:v>
      </x:c>
      <x:c r="AB31" s="21" t="n">
        <x:v>6</x:v>
      </x:c>
      <x:c r="AC31" s="23" t="str">
        <x:v>型号级新增</x:v>
      </x:c>
      <x:c r="AD31" s="18" t="str">
        <x:v>https://www.miit.gov.cn/datainfo/dljdclscqyjcpgg/xcpgs412156gfgy/art/2026/art_3f62db71af434dcab27a9624c05322ed.html</x:v>
      </x:c>
      <x:c r="AE31" s="18" t="str">
        <x:v>电机功率</x:v>
      </x:c>
    </x:row>
    <x:row r="32">
      <x:c r="A32" s="22" t="n">
        <x:v>412</x:v>
      </x:c>
      <x:c r="B32" s="23" t="str">
        <x:v>公示</x:v>
      </x:c>
      <x:c r="C32" s="23" t="str">
        <x:v>纯电(BEV)</x:v>
      </x:c>
      <x:c r="D32" s="23" t="str">
        <x:v>否</x:v>
      </x:c>
      <x:c r="E32" s="18" t="str">
        <x:v>北京奔驰汽车有限公司</x:v>
      </x:c>
      <x:c r="F32" s="18" t="str">
        <x:v>梅赛德斯-奔驰(Mercedes-Ben...</x:v>
      </x:c>
      <x:c r="G32" s="18"/>
      <x:c r="H32" s="18" t="str">
        <x:v>BJ7004VLBEV</x:v>
      </x:c>
      <x:c r="I32" s="18" t="str">
        <x:v>纯电动轿车</x:v>
      </x:c>
      <x:c r="J32" s="20" t="n">
        <x:v>4977</x:v>
      </x:c>
      <x:c r="K32" s="20" t="n">
        <x:v>1876</x:v>
      </x:c>
      <x:c r="L32" s="20" t="n">
        <x:v>1510</x:v>
      </x:c>
      <x:c r="M32" s="20" t="n">
        <x:v>3051</x:v>
      </x:c>
      <x:c r="N32" s="20" t="n">
        <x:v>2315</x:v>
      </x:c>
      <x:c r="O32" s="20" t="n">
        <x:v>2785</x:v>
      </x:c>
      <x:c r="P32" s="24" t="n">
        <x:v>200</x:v>
      </x:c>
      <x:c r="Q32" s="18" t="str">
        <x:v>5</x:v>
      </x:c>
      <x:c r="R32" s="24"/>
      <x:c r="S32" s="25"/>
      <x:c r="T32" s="18" t="str">
        <x:v>磷酸铁锂蓄电池</x:v>
      </x:c>
      <x:c r="U32" s="18"/>
      <x:c r="V32" s="18"/>
      <x:c r="W32" s="18" t="str">
        <x:v>230</x:v>
      </x:c>
      <x:c r="X32" s="25" t="n">
        <x:v>230</x:v>
      </x:c>
      <x:c r="Y32" s="23" t="str">
        <x:v>单电机</x:v>
      </x:c>
      <x:c r="Z32" s="20"/>
      <x:c r="AA32" s="21"/>
      <x:c r="AB32" s="21"/>
      <x:c r="AC32" s="23" t="str">
        <x:v>型号级新增</x:v>
      </x:c>
      <x:c r="AD32" s="18" t="str">
        <x:v>https://www.miit.gov.cn/datainfo/dljdclscqyjcpgg/xcpgs412156gfgy/art/2026/art_7d864818ad124d4cb54bbdd81a4e7a75.html</x:v>
      </x:c>
      <x:c r="AE32" s="18" t="str">
        <x:v>续航、电池容量、发动机功率</x:v>
      </x:c>
    </x:row>
    <x:row r="33">
      <x:c r="A33" s="22" t="n">
        <x:v>412</x:v>
      </x:c>
      <x:c r="B33" s="23" t="str">
        <x:v>公示</x:v>
      </x:c>
      <x:c r="C33" s="23" t="str">
        <x:v>插电混动(PHEV)</x:v>
      </x:c>
      <x:c r="D33" s="23" t="str">
        <x:v>否</x:v>
      </x:c>
      <x:c r="E33" s="18" t="str">
        <x:v>长城汽车股份有限公司</x:v>
      </x:c>
      <x:c r="F33" s="18" t="str">
        <x:v>魏牌牌</x:v>
      </x:c>
      <x:c r="G33" s="18" t="str">
        <x:v>V8X</x:v>
      </x:c>
      <x:c r="H33" s="18" t="str">
        <x:v>CC6520DG21CPHEV</x:v>
      </x:c>
      <x:c r="I33" s="18" t="str">
        <x:v>插电式混合动力多用途乘用车</x:v>
      </x:c>
      <x:c r="J33" s="20" t="n">
        <x:v>5125</x:v>
      </x:c>
      <x:c r="K33" s="20" t="n">
        <x:v>2025</x:v>
      </x:c>
      <x:c r="L33" s="20" t="n">
        <x:v>1821</x:v>
      </x:c>
      <x:c r="M33" s="20" t="n">
        <x:v>3050</x:v>
      </x:c>
      <x:c r="N33" s="20" t="n">
        <x:v>2715</x:v>
      </x:c>
      <x:c r="O33" s="20" t="n">
        <x:v>3160</x:v>
      </x:c>
      <x:c r="P33" s="24" t="n">
        <x:v>225</x:v>
      </x:c>
      <x:c r="Q33" s="18" t="str">
        <x:v>5</x:v>
      </x:c>
      <x:c r="R33" s="24" t="n">
        <x:v>312</x:v>
      </x:c>
      <x:c r="S33" s="25" t="n">
        <x:v>64.7</x:v>
      </x:c>
      <x:c r="T33" s="18" t="str">
        <x:v>镍钴锰三元锂蓄电池</x:v>
      </x:c>
      <x:c r="U33" s="18" t="str">
        <x:v>巢能源科技股份有限公司(单体)/蜂巢能源科技股份有限公司(总成)</x:v>
      </x:c>
      <x:c r="V33" s="18" t="str">
        <x:v>蜂</x:v>
      </x:c>
      <x:c r="W33" s="18"/>
      <x:c r="X33" s="25"/>
      <x:c r="Y33" s="23"/>
      <x:c r="Z33" s="20" t="n">
        <x:v>1998</x:v>
      </x:c>
      <x:c r="AA33" s="21" t="n">
        <x:v>175</x:v>
      </x:c>
      <x:c r="AB33" s="21" t="n">
        <x:v>6.1</x:v>
      </x:c>
      <x:c r="AC33" s="23" t="str">
        <x:v>型号级新增</x:v>
      </x:c>
      <x:c r="AD33" s="18" t="str">
        <x:v>https://www.miit.gov.cn/datainfo/dljdclscqyjcpgg/xcpgs412156gfgy/art/2026/art_acb39da792bd445e94c1f6c95651daa2.html</x:v>
      </x:c>
      <x:c r="AE33" s="18" t="str">
        <x:v>电机功率</x:v>
      </x:c>
    </x:row>
    <x:row r="34">
      <x:c r="A34" s="22" t="n">
        <x:v>412</x:v>
      </x:c>
      <x:c r="B34" s="23" t="str">
        <x:v>公示</x:v>
      </x:c>
      <x:c r="C34" s="23" t="str">
        <x:v>插电混动(PHEV)</x:v>
      </x:c>
      <x:c r="D34" s="23" t="str">
        <x:v>否</x:v>
      </x:c>
      <x:c r="E34" s="18" t="str">
        <x:v>长城汽车股份有限公司</x:v>
      </x:c>
      <x:c r="F34" s="18" t="str">
        <x:v>魏牌牌</x:v>
      </x:c>
      <x:c r="G34" s="18" t="str">
        <x:v>V8X</x:v>
      </x:c>
      <x:c r="H34" s="18" t="str">
        <x:v>CC6520DG20APHEV</x:v>
      </x:c>
      <x:c r="I34" s="18" t="str">
        <x:v>插电式混合动力多用途乘用车</x:v>
      </x:c>
      <x:c r="J34" s="20" t="n">
        <x:v>5125</x:v>
      </x:c>
      <x:c r="K34" s="20" t="n">
        <x:v>2025</x:v>
      </x:c>
      <x:c r="L34" s="20" t="n">
        <x:v>1821</x:v>
      </x:c>
      <x:c r="M34" s="20" t="n">
        <x:v>3050</x:v>
      </x:c>
      <x:c r="N34" s="20" t="n">
        <x:v>2570</x:v>
      </x:c>
      <x:c r="O34" s="20" t="n">
        <x:v>3030</x:v>
      </x:c>
      <x:c r="P34" s="24" t="n">
        <x:v>200</x:v>
      </x:c>
      <x:c r="Q34" s="18" t="str">
        <x:v>5</x:v>
      </x:c>
      <x:c r="R34" s="24" t="n">
        <x:v>200</x:v>
      </x:c>
      <x:c r="S34" s="25" t="n">
        <x:v>42.8</x:v>
      </x:c>
      <x:c r="T34" s="18" t="str">
        <x:v>磷酸铁锂蓄电池</x:v>
      </x:c>
      <x:c r="U34" s="18" t="str">
        <x:v>巢能源科技(南京)有限公司(单体)/蜂巢能源科技股份有限公司(总成)</x:v>
      </x:c>
      <x:c r="V34" s="18" t="str">
        <x:v>蜂</x:v>
      </x:c>
      <x:c r="W34" s="18"/>
      <x:c r="X34" s="25"/>
      <x:c r="Y34" s="23"/>
      <x:c r="Z34" s="20" t="n">
        <x:v>1499</x:v>
      </x:c>
      <x:c r="AA34" s="21" t="n">
        <x:v>125</x:v>
      </x:c>
      <x:c r="AB34" s="21" t="n">
        <x:v>5.9</x:v>
      </x:c>
      <x:c r="AC34" s="23" t="str">
        <x:v>型号级新增</x:v>
      </x:c>
      <x:c r="AD34" s="18" t="str">
        <x:v>https://www.miit.gov.cn/datainfo/dljdclscqyjcpgg/xcpgs412156gfgy/art/2026/art_293ef2b76d7f400f9a28420c24a8844c.html</x:v>
      </x:c>
      <x:c r="AE34" s="18" t="str">
        <x:v>电机功率</x:v>
      </x:c>
    </x:row>
    <x:row r="35">
      <x:c r="A35" s="22" t="n">
        <x:v>412</x:v>
      </x:c>
      <x:c r="B35" s="23" t="str">
        <x:v>公示</x:v>
      </x:c>
      <x:c r="C35" s="23" t="str">
        <x:v>纯电(BEV)</x:v>
      </x:c>
      <x:c r="D35" s="23" t="str">
        <x:v>否</x:v>
      </x:c>
      <x:c r="E35" s="18" t="str">
        <x:v>北京汽车制造厂有限公司</x:v>
      </x:c>
      <x:c r="F35" s="18" t="str">
        <x:v>燕铃牌</x:v>
      </x:c>
      <x:c r="G35" s="18"/>
      <x:c r="H35" s="18" t="str">
        <x:v>BAW7001UBJBEV</x:v>
      </x:c>
      <x:c r="I35" s="18" t="str">
        <x:v>纯电动轿车</x:v>
      </x:c>
      <x:c r="J35" s="20" t="n">
        <x:v>3800</x:v>
      </x:c>
      <x:c r="K35" s="20" t="n">
        <x:v>1725</x:v>
      </x:c>
      <x:c r="L35" s="20" t="n">
        <x:v>1590</x:v>
      </x:c>
      <x:c r="M35" s="20" t="n">
        <x:v>2500</x:v>
      </x:c>
      <x:c r="N35" s="20" t="n">
        <x:v>1185</x:v>
      </x:c>
      <x:c r="O35" s="20" t="n">
        <x:v>1585</x:v>
      </x:c>
      <x:c r="P35" s="24" t="n">
        <x:v>130</x:v>
      </x:c>
      <x:c r="Q35" s="18" t="str">
        <x:v>5</x:v>
      </x:c>
      <x:c r="R35" s="24"/>
      <x:c r="S35" s="25"/>
      <x:c r="T35" s="18"/>
      <x:c r="U35" s="18"/>
      <x:c r="V35" s="18"/>
      <x:c r="W35" s="18" t="str">
        <x:v>60</x:v>
      </x:c>
      <x:c r="X35" s="25" t="n">
        <x:v>60</x:v>
      </x:c>
      <x:c r="Y35" s="23" t="str">
        <x:v>单电机</x:v>
      </x:c>
      <x:c r="Z35" s="20"/>
      <x:c r="AA35" s="21"/>
      <x:c r="AB35" s="21"/>
      <x:c r="AC35" s="23" t="str">
        <x:v>型号级新增</x:v>
      </x:c>
      <x:c r="AD35" s="18" t="str">
        <x:v>https://www.miit.gov.cn/datainfo/dljdclscqyjcpgg/xcpgs412156gfgy/art/2026/art_7261b8a3051a46929665d60c19629bce.html</x:v>
      </x:c>
      <x:c r="AE35" s="18" t="str">
        <x:v>续航、电池容量、电池类型、发动机功率</x:v>
      </x:c>
    </x:row>
    <x:row r="36">
      <x:c r="A36" s="22" t="n">
        <x:v>412</x:v>
      </x:c>
      <x:c r="B36" s="23" t="str">
        <x:v>公示</x:v>
      </x:c>
      <x:c r="C36" s="23" t="str">
        <x:v>纯电(BEV)</x:v>
      </x:c>
      <x:c r="D36" s="23" t="str">
        <x:v>否</x:v>
      </x:c>
      <x:c r="E36" s="18" t="str">
        <x:v>长城汽车股份有限公司</x:v>
      </x:c>
      <x:c r="F36" s="18" t="str">
        <x:v>魏牌牌</x:v>
      </x:c>
      <x:c r="G36" s="18"/>
      <x:c r="H36" s="18" t="str">
        <x:v>CC6520DH21HABEV</x:v>
      </x:c>
      <x:c r="I36" s="18" t="str">
        <x:v>纯电动多用途乘用车</x:v>
      </x:c>
      <x:c r="J36" s="20" t="n">
        <x:v>5205</x:v>
      </x:c>
      <x:c r="K36" s="20" t="n">
        <x:v>2025</x:v>
      </x:c>
      <x:c r="L36" s="20" t="n">
        <x:v>1825</x:v>
      </x:c>
      <x:c r="M36" s="20" t="n">
        <x:v>3050</x:v>
      </x:c>
      <x:c r="N36" s="20" t="n">
        <x:v>2750</x:v>
      </x:c>
      <x:c r="O36" s="20" t="n">
        <x:v>3335</x:v>
      </x:c>
      <x:c r="P36" s="24" t="n">
        <x:v>220</x:v>
      </x:c>
      <x:c r="Q36" s="18" t="str">
        <x:v>6</x:v>
      </x:c>
      <x:c r="R36" s="24"/>
      <x:c r="S36" s="25"/>
      <x:c r="T36" s="18" t="str">
        <x:v>镍钴锰三元锂蓄电池</x:v>
      </x:c>
      <x:c r="U36" s="18"/>
      <x:c r="V36" s="18"/>
      <x:c r="W36" s="18" t="str">
        <x:v>220/320</x:v>
      </x:c>
      <x:c r="X36" s="25" t="n">
        <x:v>540</x:v>
      </x:c>
      <x:c r="Y36" s="23" t="str">
        <x:v>双电机</x:v>
      </x:c>
      <x:c r="Z36" s="20"/>
      <x:c r="AA36" s="21"/>
      <x:c r="AB36" s="21"/>
      <x:c r="AC36" s="23" t="str">
        <x:v>型号级新增</x:v>
      </x:c>
      <x:c r="AD36" s="18" t="str">
        <x:v>https://www.miit.gov.cn/datainfo/dljdclscqyjcpgg/xcpgs412156gfgy/art/2026/art_b74cd4fb43fa4caab1991c9ad95b9aaa.html</x:v>
      </x:c>
      <x:c r="AE36" s="18" t="str">
        <x:v>续航、电池容量、发动机功率</x:v>
      </x:c>
    </x:row>
    <x:row r="37">
      <x:c r="A37" s="22" t="n">
        <x:v>412</x:v>
      </x:c>
      <x:c r="B37" s="23" t="str">
        <x:v>公示</x:v>
      </x:c>
      <x:c r="C37" s="23" t="str">
        <x:v>纯电(BEV)</x:v>
      </x:c>
      <x:c r="D37" s="23" t="str">
        <x:v>否</x:v>
      </x:c>
      <x:c r="E37" s="18" t="str">
        <x:v>长城汽车股份有限公司</x:v>
      </x:c>
      <x:c r="F37" s="18" t="str">
        <x:v>魏牌牌</x:v>
      </x:c>
      <x:c r="G37" s="18"/>
      <x:c r="H37" s="18" t="str">
        <x:v>CC6520DG21HABEV</x:v>
      </x:c>
      <x:c r="I37" s="18" t="str">
        <x:v>纯电动多用途乘用车</x:v>
      </x:c>
      <x:c r="J37" s="20" t="n">
        <x:v>5125</x:v>
      </x:c>
      <x:c r="K37" s="20" t="n">
        <x:v>2025</x:v>
      </x:c>
      <x:c r="L37" s="20" t="n">
        <x:v>1821</x:v>
      </x:c>
      <x:c r="M37" s="20" t="n">
        <x:v>3050</x:v>
      </x:c>
      <x:c r="N37" s="20" t="n">
        <x:v>2650</x:v>
      </x:c>
      <x:c r="O37" s="20" t="n">
        <x:v>3105</x:v>
      </x:c>
      <x:c r="P37" s="24" t="n">
        <x:v>220</x:v>
      </x:c>
      <x:c r="Q37" s="18" t="str">
        <x:v>5</x:v>
      </x:c>
      <x:c r="R37" s="24"/>
      <x:c r="S37" s="25"/>
      <x:c r="T37" s="18" t="str">
        <x:v>镍钴锰三元锂蓄电池</x:v>
      </x:c>
      <x:c r="U37" s="18" t="str">
        <x:v>巢能源科技股份有限公司(单体)/蜂巢能源科技股份有限公司(总成)</x:v>
      </x:c>
      <x:c r="V37" s="18" t="str">
        <x:v>蜂</x:v>
      </x:c>
      <x:c r="W37" s="18" t="str">
        <x:v>220/320</x:v>
      </x:c>
      <x:c r="X37" s="25" t="n">
        <x:v>540</x:v>
      </x:c>
      <x:c r="Y37" s="23" t="str">
        <x:v>双电机</x:v>
      </x:c>
      <x:c r="Z37" s="20"/>
      <x:c r="AA37" s="21"/>
      <x:c r="AB37" s="21"/>
      <x:c r="AC37" s="23" t="str">
        <x:v>型号级新增</x:v>
      </x:c>
      <x:c r="AD37" s="18" t="str">
        <x:v>https://www.miit.gov.cn/datainfo/dljdclscqyjcpgg/xcpgs412156gfgy/art/2026/art_4b00bc9317d8435687c87874d52a14b4.html</x:v>
      </x:c>
      <x:c r="AE37" s="18" t="str">
        <x:v>续航、电池容量、发动机功率</x:v>
      </x:c>
    </x:row>
    <x:row r="38">
      <x:c r="A38" s="22" t="n">
        <x:v>412</x:v>
      </x:c>
      <x:c r="B38" s="23" t="str">
        <x:v>公示</x:v>
      </x:c>
      <x:c r="C38" s="23" t="str">
        <x:v>纯电(BEV)</x:v>
      </x:c>
      <x:c r="D38" s="23" t="str">
        <x:v>否</x:v>
      </x:c>
      <x:c r="E38" s="18" t="str">
        <x:v>上海汽车集团股份有限公司</x:v>
      </x:c>
      <x:c r="F38" s="18" t="str">
        <x:v>尚界牌</x:v>
      </x:c>
      <x:c r="G38" s="18"/>
      <x:c r="H38" s="18" t="str">
        <x:v>CSA6516BBEV2</x:v>
      </x:c>
      <x:c r="I38" s="18" t="str">
        <x:v>纯电动运动型乘用车</x:v>
      </x:c>
      <x:c r="J38" s="20" t="n">
        <x:v>5139</x:v>
      </x:c>
      <x:c r="K38" s="20" t="n">
        <x:v>2005</x:v>
      </x:c>
      <x:c r="L38" s="20" t="n">
        <x:v>1776</x:v>
      </x:c>
      <x:c r="M38" s="20" t="n">
        <x:v>3086</x:v>
      </x:c>
      <x:c r="N38" s="20" t="n">
        <x:v>2715</x:v>
      </x:c>
      <x:c r="O38" s="20" t="n">
        <x:v>3162</x:v>
      </x:c>
      <x:c r="P38" s="24" t="n">
        <x:v>210</x:v>
      </x:c>
      <x:c r="Q38" s="18" t="str">
        <x:v>5,6</x:v>
      </x:c>
      <x:c r="R38" s="24"/>
      <x:c r="S38" s="25"/>
      <x:c r="T38" s="18" t="str">
        <x:v>三元锂离子电池</x:v>
      </x:c>
      <x:c r="U38" s="18"/>
      <x:c r="V38" s="18"/>
      <x:c r="W38" s="18" t="str">
        <x:v>175/280</x:v>
      </x:c>
      <x:c r="X38" s="25" t="n">
        <x:v>455</x:v>
      </x:c>
      <x:c r="Y38" s="23" t="str">
        <x:v>双电机</x:v>
      </x:c>
      <x:c r="Z38" s="20"/>
      <x:c r="AA38" s="21"/>
      <x:c r="AB38" s="21"/>
      <x:c r="AC38" s="23" t="str">
        <x:v>型号级新增</x:v>
      </x:c>
      <x:c r="AD38" s="18" t="str">
        <x:v>https://www.miit.gov.cn/datainfo/dljdclscqyjcpgg/xcpgs412156gfgy/art/2026/art_bac70af056124564b8fb3b7c5eb3b603.html</x:v>
      </x:c>
      <x:c r="AE38" s="18" t="str">
        <x:v>续航、电池容量、发动机功率</x:v>
      </x:c>
    </x:row>
    <x:row r="39">
      <x:c r="A39" s="22" t="n">
        <x:v>412</x:v>
      </x:c>
      <x:c r="B39" s="23" t="str">
        <x:v>公示</x:v>
      </x:c>
      <x:c r="C39" s="23" t="str">
        <x:v>增程(EREV)</x:v>
      </x:c>
      <x:c r="D39" s="23" t="str">
        <x:v>是</x:v>
      </x:c>
      <x:c r="E39" s="18" t="str">
        <x:v>重庆长安汽车股份有限公司</x:v>
      </x:c>
      <x:c r="F39" s="18" t="str">
        <x:v>阿维塔（AVATR）牌</x:v>
      </x:c>
      <x:c r="G39" s="18" t="str">
        <x:v>07L</x:v>
      </x:c>
      <x:c r="H39" s="18" t="str">
        <x:v>SC6490AAAK6HEV</x:v>
      </x:c>
      <x:c r="I39" s="18" t="str">
        <x:v>插电式增程混合动力多用途乘用车</x:v>
      </x:c>
      <x:c r="J39" s="20" t="n">
        <x:v>4910</x:v>
      </x:c>
      <x:c r="K39" s="20" t="n">
        <x:v>1980</x:v>
      </x:c>
      <x:c r="L39" s="20" t="n">
        <x:v>1650</x:v>
      </x:c>
      <x:c r="M39" s="20" t="n">
        <x:v>2990</x:v>
      </x:c>
      <x:c r="N39" s="20" t="n">
        <x:v>2380</x:v>
      </x:c>
      <x:c r="O39" s="20" t="n">
        <x:v>2755</x:v>
      </x:c>
      <x:c r="P39" s="24" t="n">
        <x:v>200</x:v>
      </x:c>
      <x:c r="Q39" s="18" t="str">
        <x:v>5</x:v>
      </x:c>
      <x:c r="R39" s="24" t="n">
        <x:v>251</x:v>
      </x:c>
      <x:c r="S39" s="25" t="n">
        <x:v>52.01</x:v>
      </x:c>
      <x:c r="T39" s="18"/>
      <x:c r="U39" s="18"/>
      <x:c r="V39" s="18"/>
      <x:c r="W39" s="18" t="str">
        <x:v>131/231</x:v>
      </x:c>
      <x:c r="X39" s="25" t="n">
        <x:v>362</x:v>
      </x:c>
      <x:c r="Y39" s="23" t="str">
        <x:v>双电机</x:v>
      </x:c>
      <x:c r="Z39" s="20" t="n">
        <x:v>1497</x:v>
      </x:c>
      <x:c r="AA39" s="21" t="n">
        <x:v>110</x:v>
      </x:c>
      <x:c r="AB39" s="21" t="n">
        <x:v>6.49</x:v>
      </x:c>
      <x:c r="AC39" s="23" t="str">
        <x:v>型号级新增</x:v>
      </x:c>
      <x:c r="AD39" s="18" t="str">
        <x:v>https://www.miit.gov.cn/datainfo/dljdclscqyjcpgg/xcpgs412156gfgy/art/2026/art_55d55cfd84a54e099781bae866524a7b.html</x:v>
      </x:c>
      <x:c r="AE39" s="18" t="str">
        <x:v>电池类型</x:v>
      </x:c>
    </x:row>
    <x:row r="40">
      <x:c r="A40" s="22" t="n">
        <x:v>412</x:v>
      </x:c>
      <x:c r="B40" s="23" t="str">
        <x:v>公示</x:v>
      </x:c>
      <x:c r="C40" s="23" t="str">
        <x:v>纯电(BEV)</x:v>
      </x:c>
      <x:c r="D40" s="23" t="str">
        <x:v>否</x:v>
      </x:c>
      <x:c r="E40" s="18" t="str">
        <x:v>上海汽车集团股份有限公司</x:v>
      </x:c>
      <x:c r="F40" s="18" t="str">
        <x:v>尚界牌</x:v>
      </x:c>
      <x:c r="G40" s="18"/>
      <x:c r="H40" s="18" t="str">
        <x:v>CSA6516BBEV1</x:v>
      </x:c>
      <x:c r="I40" s="18" t="str">
        <x:v>纯电动运动型乘用车</x:v>
      </x:c>
      <x:c r="J40" s="20" t="n">
        <x:v>5139</x:v>
      </x:c>
      <x:c r="K40" s="20" t="n">
        <x:v>2005</x:v>
      </x:c>
      <x:c r="L40" s="20" t="n">
        <x:v>1776</x:v>
      </x:c>
      <x:c r="M40" s="20" t="n">
        <x:v>3086</x:v>
      </x:c>
      <x:c r="N40" s="20" t="n">
        <x:v>2595</x:v>
      </x:c>
      <x:c r="O40" s="20" t="n">
        <x:v>3042</x:v>
      </x:c>
      <x:c r="P40" s="24" t="n">
        <x:v>200</x:v>
      </x:c>
      <x:c r="Q40" s="18" t="str">
        <x:v>5</x:v>
      </x:c>
      <x:c r="R40" s="24"/>
      <x:c r="S40" s="25"/>
      <x:c r="T40" s="18" t="str">
        <x:v>三元锂离子电池</x:v>
      </x:c>
      <x:c r="U40" s="18"/>
      <x:c r="V40" s="18"/>
      <x:c r="W40" s="18" t="str">
        <x:v>280</x:v>
      </x:c>
      <x:c r="X40" s="25" t="n">
        <x:v>280</x:v>
      </x:c>
      <x:c r="Y40" s="23" t="str">
        <x:v>单电机</x:v>
      </x:c>
      <x:c r="Z40" s="20"/>
      <x:c r="AA40" s="21"/>
      <x:c r="AB40" s="21"/>
      <x:c r="AC40" s="23" t="str">
        <x:v>型号级新增</x:v>
      </x:c>
      <x:c r="AD40" s="18" t="str">
        <x:v>https://www.miit.gov.cn/datainfo/dljdclscqyjcpgg/xcpgs412156gfgy/art/2026/art_d8dc63875cd945a48dd0a9244117be37.html</x:v>
      </x:c>
      <x:c r="AE40" s="18" t="str">
        <x:v>续航、电池容量、发动机功率</x:v>
      </x:c>
    </x:row>
    <x:row r="41">
      <x:c r="A41" s="22" t="n">
        <x:v>412</x:v>
      </x:c>
      <x:c r="B41" s="23" t="str">
        <x:v>公示</x:v>
      </x:c>
      <x:c r="C41" s="23" t="str">
        <x:v>插电混动(PHEV)</x:v>
      </x:c>
      <x:c r="D41" s="23" t="str">
        <x:v>否</x:v>
      </x:c>
      <x:c r="E41" s="18" t="str">
        <x:v>上汽通用汽车有限公司</x:v>
      </x:c>
      <x:c r="F41" s="18" t="str">
        <x:v>别克(BUICK)牌</x:v>
      </x:c>
      <x:c r="G41" s="18" t="str">
        <x:v>GL8 ENCASA</x:v>
      </x:c>
      <x:c r="H41" s="18" t="str">
        <x:v>SGM6536UGPHEV</x:v>
      </x:c>
      <x:c r="I41" s="18" t="str">
        <x:v>插电式混合动力多用途乘用车</x:v>
      </x:c>
      <x:c r="J41" s="20" t="n">
        <x:v>5260</x:v>
      </x:c>
      <x:c r="K41" s="20" t="n">
        <x:v>2000</x:v>
      </x:c>
      <x:c r="L41" s="20" t="n">
        <x:v>1835</x:v>
      </x:c>
      <x:c r="M41" s="20" t="n">
        <x:v>3160</x:v>
      </x:c>
      <x:c r="N41" s="20" t="n">
        <x:v>2640</x:v>
      </x:c>
      <x:c r="O41" s="20" t="n">
        <x:v>3220</x:v>
      </x:c>
      <x:c r="P41" s="24" t="n">
        <x:v>180</x:v>
      </x:c>
      <x:c r="Q41" s="18" t="str">
        <x:v>7</x:v>
      </x:c>
      <x:c r="R41" s="24" t="n">
        <x:v>176</x:v>
      </x:c>
      <x:c r="S41" s="25" t="n">
        <x:v>40.9</x:v>
      </x:c>
      <x:c r="T41" s="18"/>
      <x:c r="U41" s="18"/>
      <x:c r="V41" s="18"/>
      <x:c r="W41" s="18" t="str">
        <x:v>200</x:v>
      </x:c>
      <x:c r="X41" s="25" t="n">
        <x:v>200</x:v>
      </x:c>
      <x:c r="Y41" s="23" t="str">
        <x:v>单电机</x:v>
      </x:c>
      <x:c r="Z41" s="20" t="n">
        <x:v>1498</x:v>
      </x:c>
      <x:c r="AA41" s="21" t="n">
        <x:v>115</x:v>
      </x:c>
      <x:c r="AB41" s="21" t="n">
        <x:v>6.58</x:v>
      </x:c>
      <x:c r="AC41" s="23" t="str">
        <x:v>型号级新增</x:v>
      </x:c>
      <x:c r="AD41" s="18" t="str">
        <x:v>https://www.miit.gov.cn/datainfo/dljdclscqyjcpgg/xcpgs412156gfgy/art/2026/art_5eb0cfd137d34af6bc97e53b9397f481.html</x:v>
      </x:c>
      <x:c r="AE41" s="18" t="str">
        <x:v>电池类型</x:v>
      </x:c>
    </x:row>
    <x:row r="42">
      <x:c r="A42" s="22" t="n">
        <x:v>412</x:v>
      </x:c>
      <x:c r="B42" s="23" t="str">
        <x:v>公示</x:v>
      </x:c>
      <x:c r="C42" s="23" t="str">
        <x:v>插电混动(PHEV)</x:v>
      </x:c>
      <x:c r="D42" s="23" t="str">
        <x:v>否</x:v>
      </x:c>
      <x:c r="E42" s="18" t="str">
        <x:v>上汽通用汽车有限公司</x:v>
      </x:c>
      <x:c r="F42" s="18" t="str">
        <x:v>别克(BUICK)牌</x:v>
      </x:c>
      <x:c r="G42" s="18" t="str">
        <x:v>GL8,GL8 ES</x:v>
      </x:c>
      <x:c r="H42" s="18" t="str">
        <x:v>SGM6525UAPHEV</x:v>
      </x:c>
      <x:c r="I42" s="18" t="str">
        <x:v>插电式混合动力多用途乘用车</x:v>
      </x:c>
      <x:c r="J42" s="20" t="n">
        <x:v>5219</x:v>
      </x:c>
      <x:c r="K42" s="20" t="n">
        <x:v>1912</x:v>
      </x:c>
      <x:c r="L42" s="20" t="n">
        <x:v>1802</x:v>
      </x:c>
      <x:c r="M42" s="20" t="n">
        <x:v>3088</x:v>
      </x:c>
      <x:c r="N42" s="20" t="n">
        <x:v>2310</x:v>
      </x:c>
      <x:c r="O42" s="20" t="n">
        <x:v>2895</x:v>
      </x:c>
      <x:c r="P42" s="24" t="n">
        <x:v>180</x:v>
      </x:c>
      <x:c r="Q42" s="18" t="str">
        <x:v>7</x:v>
      </x:c>
      <x:c r="R42" s="24" t="n">
        <x:v>150</x:v>
      </x:c>
      <x:c r="S42" s="25" t="n">
        <x:v>35.5</x:v>
      </x:c>
      <x:c r="T42" s="18"/>
      <x:c r="U42" s="18"/>
      <x:c r="V42" s="18"/>
      <x:c r="W42" s="18" t="str">
        <x:v>80/177</x:v>
      </x:c>
      <x:c r="X42" s="25" t="n">
        <x:v>257</x:v>
      </x:c>
      <x:c r="Y42" s="23" t="str">
        <x:v>双电机</x:v>
      </x:c>
      <x:c r="Z42" s="20" t="n">
        <x:v>1498</x:v>
      </x:c>
      <x:c r="AA42" s="21" t="n">
        <x:v>115</x:v>
      </x:c>
      <x:c r="AB42" s="21" t="n">
        <x:v>6.48</x:v>
      </x:c>
      <x:c r="AC42" s="23" t="str">
        <x:v>型号级新增</x:v>
      </x:c>
      <x:c r="AD42" s="18" t="str">
        <x:v>https://www.miit.gov.cn/datainfo/dljdclscqyjcpgg/xcpgs412156gfgy/art/2026/art_2f0b98e74f8641f5b479e595a1d3fecc.html</x:v>
      </x:c>
      <x:c r="AE42" s="18" t="str">
        <x:v>电池类型</x:v>
      </x:c>
    </x:row>
    <x:row r="43">
      <x:c r="A43" s="22" t="n">
        <x:v>412</x:v>
      </x:c>
      <x:c r="B43" s="23" t="str">
        <x:v>公示</x:v>
      </x:c>
      <x:c r="C43" s="23" t="str">
        <x:v>纯电(BEV)</x:v>
      </x:c>
      <x:c r="D43" s="23" t="str">
        <x:v>否</x:v>
      </x:c>
      <x:c r="E43" s="18" t="str">
        <x:v>比亚迪汽车工业有限公司</x:v>
      </x:c>
      <x:c r="F43" s="18" t="str">
        <x:v>比亚迪牌</x:v>
      </x:c>
      <x:c r="G43" s="18"/>
      <x:c r="H43" s="18" t="str">
        <x:v>BYD7003ASBEV3</x:v>
      </x:c>
      <x:c r="I43" s="18" t="str">
        <x:v>纯电动轿车</x:v>
      </x:c>
      <x:c r="J43" s="20" t="n">
        <x:v>4840</x:v>
      </x:c>
      <x:c r="K43" s="20" t="n">
        <x:v>1900</x:v>
      </x:c>
      <x:c r="L43" s="20" t="n">
        <x:v>1498</x:v>
      </x:c>
      <x:c r="M43" s="20" t="n">
        <x:v>2800</x:v>
      </x:c>
      <x:c r="N43" s="20" t="n">
        <x:v>1545</x:v>
      </x:c>
      <x:c r="O43" s="20" t="n">
        <x:v>1940</x:v>
      </x:c>
      <x:c r="P43" s="24" t="n">
        <x:v>170</x:v>
      </x:c>
      <x:c r="Q43" s="18" t="str">
        <x:v>5</x:v>
      </x:c>
      <x:c r="R43" s="24"/>
      <x:c r="S43" s="25"/>
      <x:c r="T43" s="18" t="str">
        <x:v>磷酸铁锂蓄电池</x:v>
      </x:c>
      <x:c r="U43" s="18"/>
      <x:c r="V43" s="18"/>
      <x:c r="W43" s="18" t="str">
        <x:v>100</x:v>
      </x:c>
      <x:c r="X43" s="25" t="n">
        <x:v>100</x:v>
      </x:c>
      <x:c r="Y43" s="23" t="str">
        <x:v>单电机</x:v>
      </x:c>
      <x:c r="Z43" s="20"/>
      <x:c r="AA43" s="21"/>
      <x:c r="AB43" s="21"/>
      <x:c r="AC43" s="23" t="str">
        <x:v>型号级新增</x:v>
      </x:c>
      <x:c r="AD43" s="18" t="str">
        <x:v>https://www.miit.gov.cn/datainfo/dljdclscqyjcpgg/xcpgs412156gfgy/art/2026/art_34e5ff7258ed4baebe51698fd731991f.html</x:v>
      </x:c>
      <x:c r="AE43" s="18" t="str">
        <x:v>续航、电池容量、发动机功率</x:v>
      </x:c>
    </x:row>
    <x:row r="44">
      <x:c r="A44" s="22" t="n">
        <x:v>412</x:v>
      </x:c>
      <x:c r="B44" s="23" t="str">
        <x:v>公示</x:v>
      </x:c>
      <x:c r="C44" s="23" t="str">
        <x:v>纯电(BEV)</x:v>
      </x:c>
      <x:c r="D44" s="23" t="str">
        <x:v>否</x:v>
      </x:c>
      <x:c r="E44" s="18" t="str">
        <x:v>上海汽车集团股份有限公司</x:v>
      </x:c>
      <x:c r="F44" s="18" t="str">
        <x:v>荣威牌</x:v>
      </x:c>
      <x:c r="G44" s="18"/>
      <x:c r="H44" s="18" t="str">
        <x:v>CSA6494HBEV1</x:v>
      </x:c>
      <x:c r="I44" s="18" t="str">
        <x:v>纯电动运动型乘用车</x:v>
      </x:c>
      <x:c r="J44" s="20" t="n">
        <x:v>4900</x:v>
      </x:c>
      <x:c r="K44" s="20" t="n">
        <x:v>1910</x:v>
      </x:c>
      <x:c r="L44" s="20" t="n">
        <x:v>1745</x:v>
      </x:c>
      <x:c r="M44" s="20" t="n">
        <x:v>2908</x:v>
      </x:c>
      <x:c r="N44" s="20" t="n">
        <x:v>2050</x:v>
      </x:c>
      <x:c r="O44" s="20" t="n">
        <x:v>2475</x:v>
      </x:c>
      <x:c r="P44" s="24" t="n">
        <x:v>200</x:v>
      </x:c>
      <x:c r="Q44" s="18" t="str">
        <x:v>5</x:v>
      </x:c>
      <x:c r="R44" s="24"/>
      <x:c r="S44" s="25"/>
      <x:c r="T44" s="18" t="str">
        <x:v>磷酸铁锂电池</x:v>
      </x:c>
      <x:c r="U44" s="18" t="str">
        <x:v>成:上汽时代动力系统（南京）有限公司</x:v>
      </x:c>
      <x:c r="V44" s="18" t="str">
        <x:v>总</x:v>
      </x:c>
      <x:c r="W44" s="18" t="str">
        <x:v>245</x:v>
      </x:c>
      <x:c r="X44" s="25" t="n">
        <x:v>245</x:v>
      </x:c>
      <x:c r="Y44" s="23" t="str">
        <x:v>单电机</x:v>
      </x:c>
      <x:c r="Z44" s="20"/>
      <x:c r="AA44" s="21"/>
      <x:c r="AB44" s="21"/>
      <x:c r="AC44" s="23" t="str">
        <x:v>型号级新增</x:v>
      </x:c>
      <x:c r="AD44" s="18" t="str">
        <x:v>https://www.miit.gov.cn/datainfo/dljdclscqyjcpgg/xcpgs412156gfgy/art/2026/art_d1167d1e26a64691b33340583ba0f634.html</x:v>
      </x:c>
      <x:c r="AE44" s="18" t="str">
        <x:v>续航、电池容量、发动机功率</x:v>
      </x:c>
    </x:row>
    <x:row r="45">
      <x:c r="A45" s="22" t="n">
        <x:v>412</x:v>
      </x:c>
      <x:c r="B45" s="23" t="str">
        <x:v>公示</x:v>
      </x:c>
      <x:c r="C45" s="23" t="str">
        <x:v>纯电(BEV)</x:v>
      </x:c>
      <x:c r="D45" s="23" t="str">
        <x:v>否</x:v>
      </x:c>
      <x:c r="E45" s="18" t="str">
        <x:v>一汽-大众汽车有限公司</x:v>
      </x:c>
      <x:c r="F45" s="18" t="str">
        <x:v>大众牌</x:v>
      </x:c>
      <x:c r="G45" s="18"/>
      <x:c r="H45" s="18" t="str">
        <x:v>FV70012BACBEV</x:v>
      </x:c>
      <x:c r="I45" s="18" t="str">
        <x:v>纯电动轿车</x:v>
      </x:c>
      <x:c r="J45" s="20" t="n">
        <x:v>4883</x:v>
      </x:c>
      <x:c r="K45" s="20" t="n">
        <x:v>1881</x:v>
      </x:c>
      <x:c r="L45" s="20" t="n">
        <x:v>1506</x:v>
      </x:c>
      <x:c r="M45" s="20" t="n">
        <x:v>2820</x:v>
      </x:c>
      <x:c r="N45" s="20" t="n">
        <x:v>1795</x:v>
      </x:c>
      <x:c r="O45" s="20" t="n">
        <x:v>2240</x:v>
      </x:c>
      <x:c r="P45" s="24" t="n">
        <x:v>175</x:v>
      </x:c>
      <x:c r="Q45" s="18" t="str">
        <x:v>5</x:v>
      </x:c>
      <x:c r="R45" s="24"/>
      <x:c r="S45" s="25"/>
      <x:c r="T45" s="18"/>
      <x:c r="U45" s="18"/>
      <x:c r="V45" s="18"/>
      <x:c r="W45" s="18" t="str">
        <x:v>155</x:v>
      </x:c>
      <x:c r="X45" s="25" t="n">
        <x:v>155</x:v>
      </x:c>
      <x:c r="Y45" s="23" t="str">
        <x:v>单电机</x:v>
      </x:c>
      <x:c r="Z45" s="20"/>
      <x:c r="AA45" s="21"/>
      <x:c r="AB45" s="21"/>
      <x:c r="AC45" s="23" t="str">
        <x:v>型号级新增</x:v>
      </x:c>
      <x:c r="AD45" s="18" t="str">
        <x:v>https://www.miit.gov.cn/datainfo/dljdclscqyjcpgg/xcpgs412156gfgy/art/2026/art_92fc49bf491d4448b0bb497704397b77.html</x:v>
      </x:c>
      <x:c r="AE45" s="18" t="str">
        <x:v>续航、电池容量、电池类型、发动机功率</x:v>
      </x:c>
    </x:row>
    <x:row r="46">
      <x:c r="A46" s="22" t="n">
        <x:v>412</x:v>
      </x:c>
      <x:c r="B46" s="23" t="str">
        <x:v>公示</x:v>
      </x:c>
      <x:c r="C46" s="23" t="str">
        <x:v>纯电(BEV)</x:v>
      </x:c>
      <x:c r="D46" s="23" t="str">
        <x:v>否</x:v>
      </x:c>
      <x:c r="E46" s="18" t="str">
        <x:v>一汽-大众汽车有限公司</x:v>
      </x:c>
      <x:c r="F46" s="18" t="str">
        <x:v>大众牌</x:v>
      </x:c>
      <x:c r="G46" s="18"/>
      <x:c r="H46" s="18" t="str">
        <x:v>FV70012BAABEV</x:v>
      </x:c>
      <x:c r="I46" s="18" t="str">
        <x:v>纯电动轿车</x:v>
      </x:c>
      <x:c r="J46" s="20" t="n">
        <x:v>4883</x:v>
      </x:c>
      <x:c r="K46" s="20" t="n">
        <x:v>1881</x:v>
      </x:c>
      <x:c r="L46" s="20" t="n">
        <x:v>1506</x:v>
      </x:c>
      <x:c r="M46" s="20" t="n">
        <x:v>2820</x:v>
      </x:c>
      <x:c r="N46" s="20" t="n">
        <x:v>1793</x:v>
      </x:c>
      <x:c r="O46" s="20" t="n">
        <x:v>2240</x:v>
      </x:c>
      <x:c r="P46" s="24" t="n">
        <x:v>175</x:v>
      </x:c>
      <x:c r="Q46" s="18" t="str">
        <x:v>5</x:v>
      </x:c>
      <x:c r="R46" s="24"/>
      <x:c r="S46" s="25"/>
      <x:c r="T46" s="18"/>
      <x:c r="U46" s="18"/>
      <x:c r="V46" s="18"/>
      <x:c r="W46" s="18" t="str">
        <x:v>155</x:v>
      </x:c>
      <x:c r="X46" s="25" t="n">
        <x:v>155</x:v>
      </x:c>
      <x:c r="Y46" s="23" t="str">
        <x:v>单电机</x:v>
      </x:c>
      <x:c r="Z46" s="20"/>
      <x:c r="AA46" s="21"/>
      <x:c r="AB46" s="21"/>
      <x:c r="AC46" s="23" t="str">
        <x:v>型号级新增</x:v>
      </x:c>
      <x:c r="AD46" s="18" t="str">
        <x:v>https://www.miit.gov.cn/datainfo/dljdclscqyjcpgg/xcpgs412156gfgy/art/2026/art_6e2c531710084b18a9359c371721cf3b.html</x:v>
      </x:c>
      <x:c r="AE46" s="18" t="str">
        <x:v>续航、电池容量、电池类型、发动机功率</x:v>
      </x:c>
    </x:row>
    <x:row r="47">
      <x:c r="A47" s="22" t="n">
        <x:v>412</x:v>
      </x:c>
      <x:c r="B47" s="23" t="str">
        <x:v>公示</x:v>
      </x:c>
      <x:c r="C47" s="23" t="str">
        <x:v>插电混动(PHEV)</x:v>
      </x:c>
      <x:c r="D47" s="23" t="str">
        <x:v>否</x:v>
      </x:c>
      <x:c r="E47" s="18" t="str">
        <x:v>江铃汽车股份有限公司</x:v>
      </x:c>
      <x:c r="F47" s="18" t="str">
        <x:v>江铃全顺牌</x:v>
      </x:c>
      <x:c r="G47" s="18" t="str">
        <x:v>全顺TRANSIT</x:v>
      </x:c>
      <x:c r="H47" s="18" t="str">
        <x:v>JX6533PA-M6PHEV</x:v>
      </x:c>
      <x:c r="I47" s="18" t="str">
        <x:v>插电式混合动力多用途乘用车</x:v>
      </x:c>
      <x:c r="J47" s="20" t="n">
        <x:v>5341</x:v>
      </x:c>
      <x:c r="K47" s="20" t="n">
        <x:v>1986</x:v>
      </x:c>
      <x:c r="L47" s="20" t="n">
        <x:v>2025</x:v>
      </x:c>
      <x:c r="M47" s="20" t="n">
        <x:v>3300</x:v>
      </x:c>
      <x:c r="N47" s="20" t="n">
        <x:v>2525</x:v>
      </x:c>
      <x:c r="O47" s="20" t="n">
        <x:v>3800</x:v>
      </x:c>
      <x:c r="P47" s="24" t="n">
        <x:v>180</x:v>
      </x:c>
      <x:c r="Q47" s="18" t="str">
        <x:v>5,6,7,8,9</x:v>
      </x:c>
      <x:c r="R47" s="24" t="n">
        <x:v>150</x:v>
      </x:c>
      <x:c r="S47" s="25" t="n">
        <x:v>43.53</x:v>
      </x:c>
      <x:c r="T47" s="18"/>
      <x:c r="U47" s="18"/>
      <x:c r="V47" s="18"/>
      <x:c r="W47" s="18" t="str">
        <x:v>170</x:v>
      </x:c>
      <x:c r="X47" s="25" t="n">
        <x:v>170</x:v>
      </x:c>
      <x:c r="Y47" s="23" t="str">
        <x:v>单电机</x:v>
      </x:c>
      <x:c r="Z47" s="20" t="n">
        <x:v>1998</x:v>
      </x:c>
      <x:c r="AA47" s="21" t="n">
        <x:v>155</x:v>
      </x:c>
      <x:c r="AB47" s="21" t="n">
        <x:v>7.86</x:v>
      </x:c>
      <x:c r="AC47" s="23" t="str">
        <x:v>型号级新增</x:v>
      </x:c>
      <x:c r="AD47" s="18" t="str">
        <x:v>https://www.miit.gov.cn/datainfo/dljdclscqyjcpgg/xcpgs412156gfgy/art/2026/art_4f3de0b6bd6b4ed9a777426d71f6fb35.html</x:v>
      </x:c>
      <x:c r="AE47" s="18" t="str">
        <x:v>电池类型</x:v>
      </x:c>
    </x:row>
    <x:row r="48">
      <x:c r="A48" s="22" t="n">
        <x:v>412</x:v>
      </x:c>
      <x:c r="B48" s="23" t="str">
        <x:v>公示</x:v>
      </x:c>
      <x:c r="C48" s="23" t="str">
        <x:v>纯电(BEV)</x:v>
      </x:c>
      <x:c r="D48" s="23" t="str">
        <x:v>否</x:v>
      </x:c>
      <x:c r="E48" s="18" t="str">
        <x:v>一汽-大众汽车有限公司</x:v>
      </x:c>
      <x:c r="F48" s="18" t="str">
        <x:v>大众牌</x:v>
      </x:c>
      <x:c r="G48" s="18"/>
      <x:c r="H48" s="18" t="str">
        <x:v>FV70012AABEV</x:v>
      </x:c>
      <x:c r="I48" s="18" t="str">
        <x:v>纯电动轿车</x:v>
      </x:c>
      <x:c r="J48" s="20" t="n">
        <x:v>4883</x:v>
      </x:c>
      <x:c r="K48" s="20" t="n">
        <x:v>1881</x:v>
      </x:c>
      <x:c r="L48" s="20" t="n">
        <x:v>1506</x:v>
      </x:c>
      <x:c r="M48" s="20" t="n">
        <x:v>2820</x:v>
      </x:c>
      <x:c r="N48" s="20" t="n">
        <x:v>1699</x:v>
      </x:c>
      <x:c r="O48" s="20" t="n">
        <x:v>2140</x:v>
      </x:c>
      <x:c r="P48" s="24" t="n">
        <x:v>175</x:v>
      </x:c>
      <x:c r="Q48" s="18" t="str">
        <x:v>5</x:v>
      </x:c>
      <x:c r="R48" s="24"/>
      <x:c r="S48" s="25"/>
      <x:c r="T48" s="18"/>
      <x:c r="U48" s="18"/>
      <x:c r="V48" s="18"/>
      <x:c r="W48" s="18" t="str">
        <x:v>155</x:v>
      </x:c>
      <x:c r="X48" s="25" t="n">
        <x:v>155</x:v>
      </x:c>
      <x:c r="Y48" s="23" t="str">
        <x:v>单电机</x:v>
      </x:c>
      <x:c r="Z48" s="20"/>
      <x:c r="AA48" s="21"/>
      <x:c r="AB48" s="21"/>
      <x:c r="AC48" s="23" t="str">
        <x:v>型号级新增</x:v>
      </x:c>
      <x:c r="AD48" s="18" t="str">
        <x:v>https://www.miit.gov.cn/datainfo/dljdclscqyjcpgg/xcpgs412156gfgy/art/2026/art_e620d014291248b08cb5917b901833bb.html</x:v>
      </x:c>
      <x:c r="AE48" s="18" t="str">
        <x:v>续航、电池容量、电池类型、发动机功率</x:v>
      </x:c>
    </x:row>
    <x:row r="49">
      <x:c r="A49" s="22" t="n">
        <x:v>412</x:v>
      </x:c>
      <x:c r="B49" s="23" t="str">
        <x:v>公示</x:v>
      </x:c>
      <x:c r="C49" s="23" t="str">
        <x:v>纯电(BEV)</x:v>
      </x:c>
      <x:c r="D49" s="23" t="str">
        <x:v>否</x:v>
      </x:c>
      <x:c r="E49" s="18" t="str">
        <x:v>一汽-大众汽车有限公司</x:v>
      </x:c>
      <x:c r="F49" s="18" t="str">
        <x:v>大众牌</x:v>
      </x:c>
      <x:c r="G49" s="18"/>
      <x:c r="H49" s="18" t="str">
        <x:v>FV70012BABBEV</x:v>
      </x:c>
      <x:c r="I49" s="18" t="str">
        <x:v>纯电动轿车</x:v>
      </x:c>
      <x:c r="J49" s="20" t="n">
        <x:v>4883</x:v>
      </x:c>
      <x:c r="K49" s="20" t="n">
        <x:v>1881</x:v>
      </x:c>
      <x:c r="L49" s="20" t="n">
        <x:v>1506</x:v>
      </x:c>
      <x:c r="M49" s="20" t="n">
        <x:v>2820</x:v>
      </x:c>
      <x:c r="N49" s="20" t="n">
        <x:v>1795</x:v>
      </x:c>
      <x:c r="O49" s="20" t="n">
        <x:v>2240</x:v>
      </x:c>
      <x:c r="P49" s="24" t="n">
        <x:v>175</x:v>
      </x:c>
      <x:c r="Q49" s="18" t="str">
        <x:v>5</x:v>
      </x:c>
      <x:c r="R49" s="24"/>
      <x:c r="S49" s="25"/>
      <x:c r="T49" s="18"/>
      <x:c r="U49" s="18"/>
      <x:c r="V49" s="18"/>
      <x:c r="W49" s="18" t="str">
        <x:v>155</x:v>
      </x:c>
      <x:c r="X49" s="25" t="n">
        <x:v>155</x:v>
      </x:c>
      <x:c r="Y49" s="23" t="str">
        <x:v>单电机</x:v>
      </x:c>
      <x:c r="Z49" s="20"/>
      <x:c r="AA49" s="21"/>
      <x:c r="AB49" s="21"/>
      <x:c r="AC49" s="23" t="str">
        <x:v>型号级新增</x:v>
      </x:c>
      <x:c r="AD49" s="18" t="str">
        <x:v>https://www.miit.gov.cn/datainfo/dljdclscqyjcpgg/xcpgs412156gfgy/art/2026/art_a81b6d5ffa1b4d2eaf6493c14288d8c0.html</x:v>
      </x:c>
      <x:c r="AE49" s="18" t="str">
        <x:v>续航、电池容量、电池类型、发动机功率</x:v>
      </x:c>
    </x:row>
    <x:row r="50">
      <x:c r="A50" s="22" t="n">
        <x:v>412</x:v>
      </x:c>
      <x:c r="B50" s="23" t="str">
        <x:v>公示</x:v>
      </x:c>
      <x:c r="C50" s="23" t="str">
        <x:v>纯电(BEV)</x:v>
      </x:c>
      <x:c r="D50" s="23" t="str">
        <x:v>否</x:v>
      </x:c>
      <x:c r="E50" s="18" t="str">
        <x:v>比亚迪汽车工业有限公司</x:v>
      </x:c>
      <x:c r="F50" s="18" t="str">
        <x:v>比亚迪牌</x:v>
      </x:c>
      <x:c r="G50" s="18"/>
      <x:c r="H50" s="18" t="str">
        <x:v>BYD6510BNBEV4</x:v>
      </x:c>
      <x:c r="I50" s="18" t="str">
        <x:v>纯电动多用途乘用车</x:v>
      </x:c>
      <x:c r="J50" s="20" t="n">
        <x:v>5115</x:v>
      </x:c>
      <x:c r="K50" s="20" t="n">
        <x:v>1999</x:v>
      </x:c>
      <x:c r="L50" s="20" t="n">
        <x:v>1800</x:v>
      </x:c>
      <x:c r="M50" s="20" t="n">
        <x:v>3030</x:v>
      </x:c>
      <x:c r="N50" s="20" t="n">
        <x:v>2765</x:v>
      </x:c>
      <x:c r="O50" s="20" t="n">
        <x:v>3271</x:v>
      </x:c>
      <x:c r="P50" s="24" t="n">
        <x:v>250</x:v>
      </x:c>
      <x:c r="Q50" s="18" t="str">
        <x:v>6,5</x:v>
      </x:c>
      <x:c r="R50" s="24"/>
      <x:c r="S50" s="25"/>
      <x:c r="T50" s="18" t="str">
        <x:v>磷酸铁锂蓄电池</x:v>
      </x:c>
      <x:c r="U50" s="18"/>
      <x:c r="V50" s="18"/>
      <x:c r="W50" s="18" t="str">
        <x:v>215/370</x:v>
      </x:c>
      <x:c r="X50" s="25" t="n">
        <x:v>585</x:v>
      </x:c>
      <x:c r="Y50" s="23" t="str">
        <x:v>双电机</x:v>
      </x:c>
      <x:c r="Z50" s="20"/>
      <x:c r="AA50" s="21"/>
      <x:c r="AB50" s="21"/>
      <x:c r="AC50" s="23" t="str">
        <x:v>型号级新增</x:v>
      </x:c>
      <x:c r="AD50" s="18" t="str">
        <x:v>https://www.miit.gov.cn/datainfo/dljdclscqyjcpgg/xcpgs412156gfgy/art/2026/art_cf024741234f452b8776f44d135550e0.html</x:v>
      </x:c>
      <x:c r="AE50" s="18" t="str">
        <x:v>续航、电池容量、发动机功率</x:v>
      </x:c>
    </x:row>
    <x:row r="51">
      <x:c r="A51" s="22" t="n">
        <x:v>412</x:v>
      </x:c>
      <x:c r="B51" s="23" t="str">
        <x:v>公示</x:v>
      </x:c>
      <x:c r="C51" s="23" t="str">
        <x:v>插电混动(PHEV)</x:v>
      </x:c>
      <x:c r="D51" s="23" t="str">
        <x:v>否</x:v>
      </x:c>
      <x:c r="E51" s="18" t="str">
        <x:v>浙江吉利汽车有限公司</x:v>
      </x:c>
      <x:c r="F51" s="18" t="str">
        <x:v>领克牌</x:v>
      </x:c>
      <x:c r="G51" s="18" t="str">
        <x:v>领克 900L</x:v>
      </x:c>
      <x:c r="H51" s="18" t="str">
        <x:v>MR6532DCHEV101</x:v>
      </x:c>
      <x:c r="I51" s="18" t="str">
        <x:v>插电式混合动力多用途乘用车</x:v>
      </x:c>
      <x:c r="J51" s="20" t="n">
        <x:v>5280</x:v>
      </x:c>
      <x:c r="K51" s="20" t="n">
        <x:v>1999</x:v>
      </x:c>
      <x:c r="L51" s="20" t="n">
        <x:v>1810</x:v>
      </x:c>
      <x:c r="M51" s="20" t="n">
        <x:v>3170</x:v>
      </x:c>
      <x:c r="N51" s="20" t="n">
        <x:v>2965</x:v>
      </x:c>
      <x:c r="O51" s="20" t="n">
        <x:v>3565</x:v>
      </x:c>
      <x:c r="P51" s="24" t="n">
        <x:v>225</x:v>
      </x:c>
      <x:c r="Q51" s="18" t="str">
        <x:v>7</x:v>
      </x:c>
      <x:c r="R51" s="24" t="n">
        <x:v>320</x:v>
      </x:c>
      <x:c r="S51" s="25" t="n">
        <x:v>70</x:v>
      </x:c>
      <x:c r="T51" s="18" t="str">
        <x:v>三元锂离子电池</x:v>
      </x:c>
      <x:c r="U51" s="18"/>
      <x:c r="V51" s="18"/>
      <x:c r="W51" s="18"/>
      <x:c r="X51" s="25"/>
      <x:c r="Y51" s="23"/>
      <x:c r="Z51" s="20" t="n">
        <x:v>1999</x:v>
      </x:c>
      <x:c r="AA51" s="21" t="n">
        <x:v>160</x:v>
      </x:c>
      <x:c r="AB51" s="21" t="n">
        <x:v>6.41</x:v>
      </x:c>
      <x:c r="AC51" s="23" t="str">
        <x:v>型号级新增</x:v>
      </x:c>
      <x:c r="AD51" s="18" t="str">
        <x:v>https://www.miit.gov.cn/datainfo/dljdclscqyjcpgg/xcpgs412156gfgy/art/2026/art_16d1c9bf5c934f3bb7b0d091de431c1f.html</x:v>
      </x:c>
      <x:c r="AE51" s="18" t="str">
        <x:v>电机功率</x:v>
      </x:c>
    </x:row>
    <x:row r="52">
      <x:c r="A52" s="22" t="n">
        <x:v>412</x:v>
      </x:c>
      <x:c r="B52" s="23" t="str">
        <x:v>公示</x:v>
      </x:c>
      <x:c r="C52" s="23" t="str">
        <x:v>插电混动(PHEV)</x:v>
      </x:c>
      <x:c r="D52" s="23" t="str">
        <x:v>否</x:v>
      </x:c>
      <x:c r="E52" s="18" t="str">
        <x:v>浙江吉利汽车有限公司</x:v>
      </x:c>
      <x:c r="F52" s="18" t="str">
        <x:v>领克牌</x:v>
      </x:c>
      <x:c r="G52" s="18" t="str">
        <x:v>领克 900L</x:v>
      </x:c>
      <x:c r="H52" s="18" t="str">
        <x:v>MR6532DCHEV102</x:v>
      </x:c>
      <x:c r="I52" s="18" t="str">
        <x:v>插电式混合动力多用途乘用车</x:v>
      </x:c>
      <x:c r="J52" s="20" t="n">
        <x:v>5280</x:v>
      </x:c>
      <x:c r="K52" s="20" t="n">
        <x:v>1999</x:v>
      </x:c>
      <x:c r="L52" s="20" t="n">
        <x:v>1810</x:v>
      </x:c>
      <x:c r="M52" s="20" t="n">
        <x:v>3170</x:v>
      </x:c>
      <x:c r="N52" s="20" t="n">
        <x:v>2880</x:v>
      </x:c>
      <x:c r="O52" s="20" t="n">
        <x:v>3480</x:v>
      </x:c>
      <x:c r="P52" s="24" t="n">
        <x:v>225</x:v>
      </x:c>
      <x:c r="Q52" s="18" t="str">
        <x:v>7</x:v>
      </x:c>
      <x:c r="R52" s="24" t="n">
        <x:v>245</x:v>
      </x:c>
      <x:c r="S52" s="25" t="n">
        <x:v>55.1</x:v>
      </x:c>
      <x:c r="T52" s="18" t="str">
        <x:v>三元锂离子电池</x:v>
      </x:c>
      <x:c r="U52" s="18"/>
      <x:c r="V52" s="18"/>
      <x:c r="W52" s="18"/>
      <x:c r="X52" s="25"/>
      <x:c r="Y52" s="23"/>
      <x:c r="Z52" s="20" t="n">
        <x:v>1999</x:v>
      </x:c>
      <x:c r="AA52" s="21" t="n">
        <x:v>160</x:v>
      </x:c>
      <x:c r="AB52" s="21" t="n">
        <x:v>6.34</x:v>
      </x:c>
      <x:c r="AC52" s="23" t="str">
        <x:v>型号级新增</x:v>
      </x:c>
      <x:c r="AD52" s="18" t="str">
        <x:v>https://www.miit.gov.cn/datainfo/dljdclscqyjcpgg/xcpgs412156gfgy/art/2026/art_56b81dad135c4e499c5bb8eb636be8bf.html</x:v>
      </x:c>
      <x:c r="AE52" s="18" t="str">
        <x:v>电机功率</x:v>
      </x:c>
    </x:row>
    <x:row r="53">
      <x:c r="A53" s="22" t="n">
        <x:v>412</x:v>
      </x:c>
      <x:c r="B53" s="23" t="str">
        <x:v>公示</x:v>
      </x:c>
      <x:c r="C53" s="23" t="str">
        <x:v>纯电(BEV)</x:v>
      </x:c>
      <x:c r="D53" s="23" t="str">
        <x:v>否</x:v>
      </x:c>
      <x:c r="E53" s="18" t="str">
        <x:v>比亚迪汽车工业有限公司</x:v>
      </x:c>
      <x:c r="F53" s="18" t="str">
        <x:v>比亚迪牌</x:v>
      </x:c>
      <x:c r="G53" s="18"/>
      <x:c r="H53" s="18" t="str">
        <x:v>BYD6500BBBEV3</x:v>
      </x:c>
      <x:c r="I53" s="18" t="str">
        <x:v>纯电动多用途乘用车</x:v>
      </x:c>
      <x:c r="J53" s="20" t="n">
        <x:v>5045</x:v>
      </x:c>
      <x:c r="K53" s="20" t="n">
        <x:v>1980</x:v>
      </x:c>
      <x:c r="L53" s="20" t="n">
        <x:v>1740</x:v>
      </x:c>
      <x:c r="M53" s="20" t="n">
        <x:v>2950</x:v>
      </x:c>
      <x:c r="N53" s="20" t="n">
        <x:v>2520</x:v>
      </x:c>
      <x:c r="O53" s="20" t="n">
        <x:v>2975</x:v>
      </x:c>
      <x:c r="P53" s="24" t="n">
        <x:v>250</x:v>
      </x:c>
      <x:c r="Q53" s="18" t="str">
        <x:v>5</x:v>
      </x:c>
      <x:c r="R53" s="24"/>
      <x:c r="S53" s="25"/>
      <x:c r="T53" s="18" t="str">
        <x:v>磷酸铁锂蓄电池</x:v>
      </x:c>
      <x:c r="U53" s="18"/>
      <x:c r="V53" s="18"/>
      <x:c r="W53" s="18" t="str">
        <x:v>215/300</x:v>
      </x:c>
      <x:c r="X53" s="25" t="n">
        <x:v>515</x:v>
      </x:c>
      <x:c r="Y53" s="23" t="str">
        <x:v>双电机</x:v>
      </x:c>
      <x:c r="Z53" s="20"/>
      <x:c r="AA53" s="21"/>
      <x:c r="AB53" s="21"/>
      <x:c r="AC53" s="23" t="str">
        <x:v>型号级新增</x:v>
      </x:c>
      <x:c r="AD53" s="18" t="str">
        <x:v>https://www.miit.gov.cn/datainfo/dljdclscqyjcpgg/xcpgs412156gfgy/art/2026/art_916566549ae44010862e97b7277674fc.html</x:v>
      </x:c>
      <x:c r="AE53" s="18" t="str">
        <x:v>续航、电池容量、发动机功率</x:v>
      </x:c>
    </x:row>
    <x:row r="54">
      <x:c r="A54" s="22" t="n">
        <x:v>412</x:v>
      </x:c>
      <x:c r="B54" s="23" t="str">
        <x:v>公示</x:v>
      </x:c>
      <x:c r="C54" s="23" t="str">
        <x:v>纯电(BEV)</x:v>
      </x:c>
      <x:c r="D54" s="23" t="str">
        <x:v>否</x:v>
      </x:c>
      <x:c r="E54" s="18" t="str">
        <x:v>比亚迪汽车有限公司</x:v>
      </x:c>
      <x:c r="F54" s="18" t="str">
        <x:v>比亚迪牌</x:v>
      </x:c>
      <x:c r="G54" s="18"/>
      <x:c r="H54" s="18" t="str">
        <x:v>BYD7000CEBEV3</x:v>
      </x:c>
      <x:c r="I54" s="18" t="str">
        <x:v>纯电动轿车</x:v>
      </x:c>
      <x:c r="J54" s="20" t="n">
        <x:v>5156</x:v>
      </x:c>
      <x:c r="K54" s="20" t="n">
        <x:v>1969</x:v>
      </x:c>
      <x:c r="L54" s="20" t="n">
        <x:v>1507</x:v>
      </x:c>
      <x:c r="M54" s="20" t="n">
        <x:v>3030</x:v>
      </x:c>
      <x:c r="N54" s="20" t="n">
        <x:v>2125</x:v>
      </x:c>
      <x:c r="O54" s="20" t="n">
        <x:v>2575</x:v>
      </x:c>
      <x:c r="P54" s="24" t="n">
        <x:v>240</x:v>
      </x:c>
      <x:c r="Q54" s="18" t="str">
        <x:v>5</x:v>
      </x:c>
      <x:c r="R54" s="24"/>
      <x:c r="S54" s="25"/>
      <x:c r="T54" s="18" t="str">
        <x:v>磷酸铁锂蓄电池</x:v>
      </x:c>
      <x:c r="U54" s="18"/>
      <x:c r="V54" s="18"/>
      <x:c r="W54" s="18" t="str">
        <x:v>300</x:v>
      </x:c>
      <x:c r="X54" s="25" t="n">
        <x:v>300</x:v>
      </x:c>
      <x:c r="Y54" s="23" t="str">
        <x:v>单电机</x:v>
      </x:c>
      <x:c r="Z54" s="20"/>
      <x:c r="AA54" s="21"/>
      <x:c r="AB54" s="21"/>
      <x:c r="AC54" s="23" t="str">
        <x:v>型号级新增</x:v>
      </x:c>
      <x:c r="AD54" s="18" t="str">
        <x:v>https://www.miit.gov.cn/datainfo/dljdclscqyjcpgg/xcpgs412156gfgy/art/2026/art_49e06e448e844fc0a0de3472b6fe506e.html</x:v>
      </x:c>
      <x:c r="AE54" s="18" t="str">
        <x:v>续航、电池容量、发动机功率</x:v>
      </x:c>
    </x:row>
    <x:row r="55">
      <x:c r="A55" s="22" t="n">
        <x:v>412</x:v>
      </x:c>
      <x:c r="B55" s="23" t="str">
        <x:v>公示</x:v>
      </x:c>
      <x:c r="C55" s="23" t="str">
        <x:v>插电混动(PHEV)</x:v>
      </x:c>
      <x:c r="D55" s="23" t="str">
        <x:v>否</x:v>
      </x:c>
      <x:c r="E55" s="18" t="str">
        <x:v>比亚迪汽车有限公司</x:v>
      </x:c>
      <x:c r="F55" s="18" t="str">
        <x:v>比亚迪牌</x:v>
      </x:c>
      <x:c r="G55" s="18" t="str">
        <x:v>比亚迪汉,比亚迪汉08</x:v>
      </x:c>
      <x:c r="H55" s="18" t="str">
        <x:v>BYD7150CE6HEV1</x:v>
      </x:c>
      <x:c r="I55" s="18" t="str">
        <x:v>插电式混合动力乘用车</x:v>
      </x:c>
      <x:c r="J55" s="20" t="n">
        <x:v>5156</x:v>
      </x:c>
      <x:c r="K55" s="20" t="n">
        <x:v>1969</x:v>
      </x:c>
      <x:c r="L55" s="20" t="n">
        <x:v>1507</x:v>
      </x:c>
      <x:c r="M55" s="20" t="n">
        <x:v>3030</x:v>
      </x:c>
      <x:c r="N55" s="20" t="n">
        <x:v>2115</x:v>
      </x:c>
      <x:c r="O55" s="20" t="n">
        <x:v>2565</x:v>
      </x:c>
      <x:c r="P55" s="24" t="n">
        <x:v>200</x:v>
      </x:c>
      <x:c r="Q55" s="18" t="str">
        <x:v>5</x:v>
      </x:c>
      <x:c r="R55" s="24" t="n">
        <x:v>300</x:v>
      </x:c>
      <x:c r="S55" s="25" t="n">
        <x:v>45.36</x:v>
      </x:c>
      <x:c r="T55" s="18" t="str">
        <x:v>磷酸铁锂蓄电池</x:v>
      </x:c>
      <x:c r="U55" s="18"/>
      <x:c r="V55" s="18"/>
      <x:c r="W55" s="18" t="str">
        <x:v>200</x:v>
      </x:c>
      <x:c r="X55" s="25" t="n">
        <x:v>200</x:v>
      </x:c>
      <x:c r="Y55" s="23" t="str">
        <x:v>单电机</x:v>
      </x:c>
      <x:c r="Z55" s="20" t="n">
        <x:v>1498</x:v>
      </x:c>
      <x:c r="AA55" s="21" t="n">
        <x:v>115</x:v>
      </x:c>
      <x:c r="AB55" s="21" t="n">
        <x:v>4.6</x:v>
      </x:c>
      <x:c r="AC55" s="23" t="str">
        <x:v>型号级新增</x:v>
      </x:c>
      <x:c r="AD55" s="18" t="str">
        <x:v>https://www.miit.gov.cn/datainfo/dljdclscqyjcpgg/xcpgs412156gfgy/art/2026/art_3ecbf3fe94354153967c61b89ebb0cd6.html</x:v>
      </x:c>
      <x:c r="AE55" s="18" t="str"/>
    </x:row>
    <x:row r="56">
      <x:c r="A56" s="22" t="n">
        <x:v>412</x:v>
      </x:c>
      <x:c r="B56" s="23" t="str">
        <x:v>公示</x:v>
      </x:c>
      <x:c r="C56" s="23" t="str">
        <x:v>纯电(BEV)</x:v>
      </x:c>
      <x:c r="D56" s="23" t="str">
        <x:v>否</x:v>
      </x:c>
      <x:c r="E56" s="18" t="str">
        <x:v>赛力斯汽车有限公司</x:v>
      </x:c>
      <x:c r="F56" s="18" t="str">
        <x:v>问界牌</x:v>
      </x:c>
      <x:c r="G56" s="18"/>
      <x:c r="H56" s="18" t="str">
        <x:v>SKE6511DBEVA1F</x:v>
      </x:c>
      <x:c r="I56" s="18" t="str">
        <x:v>纯电动多用途乘用车</x:v>
      </x:c>
      <x:c r="J56" s="20" t="n">
        <x:v>5080</x:v>
      </x:c>
      <x:c r="K56" s="20" t="n">
        <x:v>1999</x:v>
      </x:c>
      <x:c r="L56" s="20" t="n">
        <x:v>1780</x:v>
      </x:c>
      <x:c r="M56" s="20" t="n">
        <x:v>3030</x:v>
      </x:c>
      <x:c r="N56" s="20" t="n">
        <x:v>2660</x:v>
      </x:c>
      <x:c r="O56" s="20" t="n">
        <x:v>3165</x:v>
      </x:c>
      <x:c r="P56" s="24" t="n">
        <x:v>200</x:v>
      </x:c>
      <x:c r="Q56" s="18" t="str">
        <x:v>5,6</x:v>
      </x:c>
      <x:c r="R56" s="24"/>
      <x:c r="S56" s="25"/>
      <x:c r="T56" s="18"/>
      <x:c r="U56" s="18"/>
      <x:c r="V56" s="18"/>
      <x:c r="W56" s="18" t="str">
        <x:v>160/227</x:v>
      </x:c>
      <x:c r="X56" s="25" t="n">
        <x:v>387</x:v>
      </x:c>
      <x:c r="Y56" s="23" t="str">
        <x:v>双电机</x:v>
      </x:c>
      <x:c r="Z56" s="20"/>
      <x:c r="AA56" s="21"/>
      <x:c r="AB56" s="21"/>
      <x:c r="AC56" s="23" t="str">
        <x:v>型号级新增</x:v>
      </x:c>
      <x:c r="AD56" s="18" t="str">
        <x:v>https://www.miit.gov.cn/datainfo/dljdclscqyjcpgg/xcpgs412156gfgy/art/2026/art_0e027d47e9814af2adb5710ae722a675.html</x:v>
      </x:c>
      <x:c r="AE56" s="18" t="str">
        <x:v>续航、电池容量、电池类型、发动机功率</x:v>
      </x:c>
    </x:row>
    <x:row r="57">
      <x:c r="A57" s="22" t="n">
        <x:v>412</x:v>
      </x:c>
      <x:c r="B57" s="23" t="str">
        <x:v>公示</x:v>
      </x:c>
      <x:c r="C57" s="23" t="str">
        <x:v>增程(EREV)</x:v>
      </x:c>
      <x:c r="D57" s="23" t="str">
        <x:v>是</x:v>
      </x:c>
      <x:c r="E57" s="18" t="str">
        <x:v>赛力斯汽车有限公司</x:v>
      </x:c>
      <x:c r="F57" s="18" t="str">
        <x:v>问界牌</x:v>
      </x:c>
      <x:c r="G57" s="18" t="str">
        <x:v>问界M7</x:v>
      </x:c>
      <x:c r="H57" s="18" t="str">
        <x:v>SKE6511DREEVA1F</x:v>
      </x:c>
      <x:c r="I57" s="18" t="str">
        <x:v>插电式增程混合动力多用途乘用车</x:v>
      </x:c>
      <x:c r="J57" s="20" t="n">
        <x:v>5080</x:v>
      </x:c>
      <x:c r="K57" s="20" t="n">
        <x:v>1999</x:v>
      </x:c>
      <x:c r="L57" s="20" t="n">
        <x:v>1780</x:v>
      </x:c>
      <x:c r="M57" s="20" t="n">
        <x:v>3030</x:v>
      </x:c>
      <x:c r="N57" s="20" t="n">
        <x:v>2740</x:v>
      </x:c>
      <x:c r="O57" s="20" t="n">
        <x:v>3255</x:v>
      </x:c>
      <x:c r="P57" s="24" t="n">
        <x:v>200</x:v>
      </x:c>
      <x:c r="Q57" s="18" t="str">
        <x:v>5,6</x:v>
      </x:c>
      <x:c r="R57" s="24" t="n">
        <x:v>255</x:v>
      </x:c>
      <x:c r="S57" s="25" t="n">
        <x:v>56.036</x:v>
      </x:c>
      <x:c r="T57" s="18"/>
      <x:c r="U57" s="18"/>
      <x:c r="V57" s="18"/>
      <x:c r="W57" s="18" t="str">
        <x:v>170/227</x:v>
      </x:c>
      <x:c r="X57" s="25" t="n">
        <x:v>397</x:v>
      </x:c>
      <x:c r="Y57" s="23" t="str">
        <x:v>双电机</x:v>
      </x:c>
      <x:c r="Z57" s="20" t="n">
        <x:v>1496</x:v>
      </x:c>
      <x:c r="AA57" s="21" t="n">
        <x:v>118</x:v>
      </x:c>
      <x:c r="AB57" s="21" t="n">
        <x:v>6.5</x:v>
      </x:c>
      <x:c r="AC57" s="23" t="str">
        <x:v>型号级新增</x:v>
      </x:c>
      <x:c r="AD57" s="18" t="str">
        <x:v>https://www.miit.gov.cn/datainfo/dljdclscqyjcpgg/xcpgs412156gfgy/art/2026/art_77bc10e65c7f49809d4973b5a3d071a1.html</x:v>
      </x:c>
      <x:c r="AE57" s="18" t="str">
        <x:v>电池类型</x:v>
      </x:c>
    </x:row>
    <x:row r="58">
      <x:c r="A58" s="22" t="n">
        <x:v>412</x:v>
      </x:c>
      <x:c r="B58" s="23" t="str">
        <x:v>公示</x:v>
      </x:c>
      <x:c r="C58" s="23" t="str">
        <x:v>纯电(BEV)</x:v>
      </x:c>
      <x:c r="D58" s="23" t="str">
        <x:v>否</x:v>
      </x:c>
      <x:c r="E58" s="18" t="str">
        <x:v>比亚迪汽车有限公司</x:v>
      </x:c>
      <x:c r="F58" s="18" t="str">
        <x:v>比亚迪牌</x:v>
      </x:c>
      <x:c r="G58" s="18"/>
      <x:c r="H58" s="18" t="str">
        <x:v>BYD7000CEBEV1</x:v>
      </x:c>
      <x:c r="I58" s="18" t="str">
        <x:v>纯电动轿车</x:v>
      </x:c>
      <x:c r="J58" s="20" t="n">
        <x:v>5156</x:v>
      </x:c>
      <x:c r="K58" s="20" t="n">
        <x:v>1969</x:v>
      </x:c>
      <x:c r="L58" s="20" t="n">
        <x:v>1492</x:v>
      </x:c>
      <x:c r="M58" s="20" t="n">
        <x:v>3030</x:v>
      </x:c>
      <x:c r="N58" s="20" t="n">
        <x:v>2351</x:v>
      </x:c>
      <x:c r="O58" s="20" t="n">
        <x:v>2801</x:v>
      </x:c>
      <x:c r="P58" s="24" t="n">
        <x:v>270</x:v>
      </x:c>
      <x:c r="Q58" s="18" t="str">
        <x:v>5</x:v>
      </x:c>
      <x:c r="R58" s="24"/>
      <x:c r="S58" s="25"/>
      <x:c r="T58" s="18" t="str">
        <x:v>磷酸铁锂蓄电池</x:v>
      </x:c>
      <x:c r="U58" s="18"/>
      <x:c r="V58" s="18"/>
      <x:c r="W58" s="18" t="str">
        <x:v>200/320</x:v>
      </x:c>
      <x:c r="X58" s="25" t="n">
        <x:v>520</x:v>
      </x:c>
      <x:c r="Y58" s="23" t="str">
        <x:v>双电机</x:v>
      </x:c>
      <x:c r="Z58" s="20"/>
      <x:c r="AA58" s="21"/>
      <x:c r="AB58" s="21"/>
      <x:c r="AC58" s="23" t="str">
        <x:v>型号级新增</x:v>
      </x:c>
      <x:c r="AD58" s="18" t="str">
        <x:v>https://www.miit.gov.cn/datainfo/dljdclscqyjcpgg/xcpgs412156gfgy/art/2026/art_c80d3d519c0048ea94c0264f32188934.html</x:v>
      </x:c>
      <x:c r="AE58" s="18" t="str">
        <x:v>续航、电池容量、发动机功率</x:v>
      </x:c>
    </x:row>
    <x:row r="59">
      <x:c r="A59" s="22" t="n">
        <x:v>412</x:v>
      </x:c>
      <x:c r="B59" s="23" t="str">
        <x:v>公示</x:v>
      </x:c>
      <x:c r="C59" s="23" t="str">
        <x:v>增程(EREV)</x:v>
      </x:c>
      <x:c r="D59" s="23" t="str">
        <x:v>是</x:v>
      </x:c>
      <x:c r="E59" s="18" t="str">
        <x:v>赛力斯汽车有限公司</x:v>
      </x:c>
      <x:c r="F59" s="18" t="str">
        <x:v>问界牌</x:v>
      </x:c>
      <x:c r="G59" s="18" t="str">
        <x:v>问界M7</x:v>
      </x:c>
      <x:c r="H59" s="18" t="str">
        <x:v>SKE6511DREEVR2</x:v>
      </x:c>
      <x:c r="I59" s="18" t="str">
        <x:v>插电式增程混合动力多用途乘用车</x:v>
      </x:c>
      <x:c r="J59" s="20" t="n">
        <x:v>5080</x:v>
      </x:c>
      <x:c r="K59" s="20" t="n">
        <x:v>1999</x:v>
      </x:c>
      <x:c r="L59" s="20" t="n">
        <x:v>1780</x:v>
      </x:c>
      <x:c r="M59" s="20" t="n">
        <x:v>3030</x:v>
      </x:c>
      <x:c r="N59" s="20" t="n">
        <x:v>2675</x:v>
      </x:c>
      <x:c r="O59" s="20" t="n">
        <x:v>3190</x:v>
      </x:c>
      <x:c r="P59" s="24" t="n">
        <x:v>200</x:v>
      </x:c>
      <x:c r="Q59" s="18" t="str">
        <x:v>5,6</x:v>
      </x:c>
      <x:c r="R59" s="24" t="n">
        <x:v>265</x:v>
      </x:c>
      <x:c r="S59" s="25" t="n">
        <x:v>56.036</x:v>
      </x:c>
      <x:c r="T59" s="18"/>
      <x:c r="U59" s="18"/>
      <x:c r="V59" s="18"/>
      <x:c r="W59" s="18" t="str">
        <x:v>227</x:v>
      </x:c>
      <x:c r="X59" s="25" t="n">
        <x:v>227</x:v>
      </x:c>
      <x:c r="Y59" s="23" t="str">
        <x:v>单电机</x:v>
      </x:c>
      <x:c r="Z59" s="20" t="n">
        <x:v>1496</x:v>
      </x:c>
      <x:c r="AA59" s="21" t="n">
        <x:v>118</x:v>
      </x:c>
      <x:c r="AB59" s="21" t="n">
        <x:v>6.2</x:v>
      </x:c>
      <x:c r="AC59" s="23" t="str">
        <x:v>型号级新增</x:v>
      </x:c>
      <x:c r="AD59" s="18" t="str">
        <x:v>https://www.miit.gov.cn/datainfo/dljdclscqyjcpgg/xcpgs412156gfgy/art/2026/art_13fa90422c89448388edfaddb2d2b44c.html</x:v>
      </x:c>
      <x:c r="AE59" s="18" t="str">
        <x:v>电池类型</x:v>
      </x:c>
    </x:row>
    <x:row r="60">
      <x:c r="A60" s="22" t="n">
        <x:v>412</x:v>
      </x:c>
      <x:c r="B60" s="23" t="str">
        <x:v>公示</x:v>
      </x:c>
      <x:c r="C60" s="23" t="str">
        <x:v>纯电(BEV)</x:v>
      </x:c>
      <x:c r="D60" s="23" t="str">
        <x:v>否</x:v>
      </x:c>
      <x:c r="E60" s="18" t="str">
        <x:v>赛力斯汽车有限公司</x:v>
      </x:c>
      <x:c r="F60" s="18" t="str">
        <x:v>问界牌</x:v>
      </x:c>
      <x:c r="G60" s="18"/>
      <x:c r="H60" s="18" t="str">
        <x:v>SKE6511DBEVR2</x:v>
      </x:c>
      <x:c r="I60" s="18" t="str">
        <x:v>纯电动多用途乘用车</x:v>
      </x:c>
      <x:c r="J60" s="20" t="n">
        <x:v>5080</x:v>
      </x:c>
      <x:c r="K60" s="20" t="n">
        <x:v>1999</x:v>
      </x:c>
      <x:c r="L60" s="20" t="n">
        <x:v>1780</x:v>
      </x:c>
      <x:c r="M60" s="20" t="n">
        <x:v>3030</x:v>
      </x:c>
      <x:c r="N60" s="20" t="n">
        <x:v>2545</x:v>
      </x:c>
      <x:c r="O60" s="20" t="n">
        <x:v>3055</x:v>
      </x:c>
      <x:c r="P60" s="24" t="n">
        <x:v>200</x:v>
      </x:c>
      <x:c r="Q60" s="18" t="str">
        <x:v>5,6</x:v>
      </x:c>
      <x:c r="R60" s="24"/>
      <x:c r="S60" s="25"/>
      <x:c r="T60" s="18"/>
      <x:c r="U60" s="18"/>
      <x:c r="V60" s="18"/>
      <x:c r="W60" s="18" t="str">
        <x:v>227</x:v>
      </x:c>
      <x:c r="X60" s="25" t="n">
        <x:v>227</x:v>
      </x:c>
      <x:c r="Y60" s="23" t="str">
        <x:v>单电机</x:v>
      </x:c>
      <x:c r="Z60" s="20"/>
      <x:c r="AA60" s="21"/>
      <x:c r="AB60" s="21"/>
      <x:c r="AC60" s="23" t="str">
        <x:v>型号级新增</x:v>
      </x:c>
      <x:c r="AD60" s="18" t="str">
        <x:v>https://www.miit.gov.cn/datainfo/dljdclscqyjcpgg/xcpgs412156gfgy/art/2026/art_13cc867dc40f419db72124f09595d516.html</x:v>
      </x:c>
      <x:c r="AE60" s="18" t="str">
        <x:v>续航、电池容量、电池类型、发动机功率</x:v>
      </x:c>
    </x:row>
    <x:row r="61">
      <x:c r="A61" s="22" t="n">
        <x:v>412</x:v>
      </x:c>
      <x:c r="B61" s="23" t="str">
        <x:v>公示</x:v>
      </x:c>
      <x:c r="C61" s="23" t="str">
        <x:v>纯电(BEV)</x:v>
      </x:c>
      <x:c r="D61" s="23" t="str">
        <x:v>否</x:v>
      </x:c>
      <x:c r="E61" s="18" t="str">
        <x:v>比亚迪汽车有限公司</x:v>
      </x:c>
      <x:c r="F61" s="18" t="str">
        <x:v>比亚迪牌</x:v>
      </x:c>
      <x:c r="G61" s="18"/>
      <x:c r="H61" s="18" t="str">
        <x:v>BYD7000CEBEV2</x:v>
      </x:c>
      <x:c r="I61" s="18" t="str">
        <x:v>纯电动轿车</x:v>
      </x:c>
      <x:c r="J61" s="20" t="n">
        <x:v>5156</x:v>
      </x:c>
      <x:c r="K61" s="20" t="n">
        <x:v>1969</x:v>
      </x:c>
      <x:c r="L61" s="20" t="n">
        <x:v>1507</x:v>
      </x:c>
      <x:c r="M61" s="20" t="n">
        <x:v>3030</x:v>
      </x:c>
      <x:c r="N61" s="20" t="n">
        <x:v>2005</x:v>
      </x:c>
      <x:c r="O61" s="20" t="n">
        <x:v>2455</x:v>
      </x:c>
      <x:c r="P61" s="24" t="n">
        <x:v>240</x:v>
      </x:c>
      <x:c r="Q61" s="18" t="str">
        <x:v>5</x:v>
      </x:c>
      <x:c r="R61" s="24"/>
      <x:c r="S61" s="25"/>
      <x:c r="T61" s="18" t="str">
        <x:v>磷酸铁锂蓄电池</x:v>
      </x:c>
      <x:c r="U61" s="18"/>
      <x:c r="V61" s="18"/>
      <x:c r="W61" s="18" t="str">
        <x:v>245</x:v>
      </x:c>
      <x:c r="X61" s="25" t="n">
        <x:v>245</x:v>
      </x:c>
      <x:c r="Y61" s="23" t="str">
        <x:v>单电机</x:v>
      </x:c>
      <x:c r="Z61" s="20"/>
      <x:c r="AA61" s="21"/>
      <x:c r="AB61" s="21"/>
      <x:c r="AC61" s="23" t="str">
        <x:v>型号级新增</x:v>
      </x:c>
      <x:c r="AD61" s="18" t="str">
        <x:v>https://www.miit.gov.cn/datainfo/dljdclscqyjcpgg/xcpgs412156gfgy/art/2026/art_63567ab44909491bba1beb3295349603.html</x:v>
      </x:c>
      <x:c r="AE61" s="18" t="str">
        <x:v>续航、电池容量、发动机功率</x:v>
      </x:c>
    </x:row>
  </x:sheetData>
  <x:conditionalFormatting sqref="X4:X61">
    <x:cfRule type="cellIs" dxfId="2" priority="1" operator="greaterThanOrEqual">
      <x:formula>200</x:formula>
    </x:cfRule>
  </x:conditionalFormatting>
  <x:conditionalFormatting sqref="AE4:AE61">
    <x:cfRule type="notContainsBlanks" dxfId="3" priority="2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F4C81"/>
  </x:sheetPr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7" hidden="0" customWidth="1"/>
  </x:cols>
  <x:sheetData>
    <x:row r="2">
      <x:c r="A2" s="1" t="str">
        <x:v>第411批正式公告与第412批公示 NEV乘用车扫描</x:v>
      </x:c>
    </x:row>
    <x:row r="3">
      <x:c r="A3" s="2" t="str">
        <x:v>数据截至 2026-10-17；411为正式公告，412为公示候选口径。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5">
      <x:c r="A5" s="14" t="str">
        <x:v>批次</x:v>
      </x:c>
      <x:c r="B5" s="14" t="str">
        <x:v>状态</x:v>
      </x:c>
      <x:c r="C5" s="14" t="str">
        <x:v>日期</x:v>
      </x:c>
      <x:c r="D5" s="14" t="str">
        <x:v>NEV乘用车数</x:v>
      </x:c>
      <x:c r="E5" s="14" t="str">
        <x:v>纯电</x:v>
      </x:c>
      <x:c r="F5" s="14" t="str">
        <x:v>插混/增程</x:v>
      </x:c>
      <x:c r="G5" s="14" t="str">
        <x:v>型号级新增</x:v>
      </x:c>
      <x:c r="H5" s="14" t="str">
        <x:v>平均车长(mm)</x:v>
      </x:c>
      <x:c r="I5" s="14" t="str">
        <x:v>平均电机功率(kW)</x:v>
      </x:c>
      <x:c r="J5" s="14" t="str">
        <x:v>平均续航(km)</x:v>
      </x:c>
      <x:c r="K5" s="14" t="str">
        <x:v>平均电池容量(kWh)</x:v>
      </x:c>
    </x:row>
    <x:row r="6">
      <x:c r="A6" s="23" t="n">
        <x:v>410</x:v>
      </x:c>
      <x:c r="B6" s="23" t="str">
        <x:v>正式公告基准</x:v>
      </x:c>
      <x:c r="C6" s="23" t="str">
        <x:v>2026-09-18</x:v>
      </x:c>
      <x:c r="D6" s="24" t="n">
        <x:v>70</x:v>
      </x:c>
      <x:c r="E6" s="24" t="n">
        <x:v>47</x:v>
      </x:c>
      <x:c r="F6" s="24" t="n">
        <x:v>23</x:v>
      </x:c>
      <x:c r="G6" s="24"/>
      <x:c r="H6" s="26" t="n">
        <x:v>4896.7</x:v>
      </x:c>
      <x:c r="I6" s="26" t="n">
        <x:v>189.3</x:v>
      </x:c>
      <x:c r="J6" s="26" t="n">
        <x:v>480.5</x:v>
      </x:c>
      <x:c r="K6" s="26" t="n">
        <x:v>64.9</x:v>
      </x:c>
    </x:row>
    <x:row r="7">
      <x:c r="A7" s="23" t="n">
        <x:v>411</x:v>
      </x:c>
      <x:c r="B7" s="23" t="str">
        <x:v>正式公告</x:v>
      </x:c>
      <x:c r="C7" s="23" t="str">
        <x:v>2026-10-16</x:v>
      </x:c>
      <x:c r="D7" s="24" t="n">
        <x:f>COUNTA('411正式车型'!$H$4:$H$50)</x:f>
        <x:v>47</x:v>
      </x:c>
      <x:c r="E7" s="24" t="n">
        <x:f>COUNTIF('411正式车型'!$C$4:$C$50,"纯电(BEV)")</x:f>
        <x:v>23</x:v>
      </x:c>
      <x:c r="F7" s="24" t="n">
        <x:f>COUNTIF('411正式车型'!$C$4:$C$50,"插电混动(PHEV)")+COUNTIF('411正式车型'!$C$4:$C$50,"增程(EREV)")</x:f>
        <x:v>24</x:v>
      </x:c>
      <x:c r="G7" s="24" t="n">
        <x:f>COUNTIF('411正式车型'!$AC$4:$AC$50,"型号级新增")</x:f>
        <x:v>26</x:v>
      </x:c>
      <x:c r="H7" s="26" t="n">
        <x:f>IF(COUNT('411正式车型'!$J$4:$J$50)=0,"n.a.",AVERAGE('411正式车型'!$J$4:$J$50))</x:f>
        <x:v>4977.347826086957</x:v>
      </x:c>
      <x:c r="I7" s="26" t="n">
        <x:f>IF(COUNT('411正式车型'!$X$4:$X$50)=0,"n.a.",AVERAGE('411正式车型'!$X$4:$X$50))</x:f>
        <x:v>285.0344827586207</x:v>
      </x:c>
      <x:c r="J7" s="26" t="n">
        <x:f>IF(COUNT('411正式车型'!$R$4:$R$50)=0,"n.a.",AVERAGE('411正式车型'!$R$4:$R$50))</x:f>
        <x:v>416.30232558139534</x:v>
      </x:c>
      <x:c r="K7" s="26" t="n">
        <x:f>IF(COUNT('411正式车型'!$S$4:$S$50)=0,"n.a.",AVERAGE('411正式车型'!$S$4:$S$50))</x:f>
        <x:v>63.37706976744184</x:v>
      </x:c>
    </x:row>
    <x:row r="8">
      <x:c r="A8" s="23" t="n">
        <x:v>412</x:v>
      </x:c>
      <x:c r="B8" s="23" t="str">
        <x:v>公示</x:v>
      </x:c>
      <x:c r="C8" s="23" t="str">
        <x:v>2026-10-16</x:v>
      </x:c>
      <x:c r="D8" s="24" t="n">
        <x:f>COUNTA('412公示车型'!$H$4:$H$61)</x:f>
        <x:v>58</x:v>
      </x:c>
      <x:c r="E8" s="24" t="n">
        <x:f>COUNTIF('412公示车型'!$C$4:$C$61,"纯电(BEV)")</x:f>
        <x:v>37</x:v>
      </x:c>
      <x:c r="F8" s="24" t="n">
        <x:f>COUNTIF('412公示车型'!$C$4:$C$61,"插电混动(PHEV)")+COUNTIF('412公示车型'!$C$4:$C$61,"增程(EREV)")</x:f>
        <x:v>21</x:v>
      </x:c>
      <x:c r="G8" s="24" t="n">
        <x:f>COUNTIF('412公示车型'!$AC$4:$AC$61,"型号级新增")</x:f>
        <x:v>58</x:v>
      </x:c>
      <x:c r="H8" s="26" t="n">
        <x:f>IF(COUNT('412公示车型'!$J$4:$J$61)=0,"n.a.",AVERAGE('412公示车型'!$J$4:$J$61))</x:f>
        <x:v>5031.413793103448</x:v>
      </x:c>
      <x:c r="I8" s="26" t="n">
        <x:f>IF(COUNT('412公示车型'!$X$4:$X$61)=0,"n.a.",AVERAGE('412公示车型'!$X$4:$X$61))</x:f>
        <x:v>263.22</x:v>
      </x:c>
      <x:c r="J8" s="26" t="n">
        <x:f>IF(COUNT('412公示车型'!$R$4:$R$61)=0,"n.a.",AVERAGE('412公示车型'!$R$4:$R$61))</x:f>
        <x:v>231.0625</x:v>
      </x:c>
      <x:c r="K8" s="26" t="n">
        <x:f>IF(COUNT('412公示车型'!$S$4:$S$61)=0,"n.a.",AVERAGE('412公示车型'!$S$4:$S$61))</x:f>
        <x:v>49.529875000000004</x:v>
      </x:c>
    </x:row>
    <x:row r="10">
      <x:c r="A10" s="14" t="str">
        <x:v>技术路线</x:v>
      </x:c>
      <x:c r="B10" s="14" t="str">
        <x:v>410正式基准</x:v>
      </x:c>
      <x:c r="C10" s="14" t="str">
        <x:v>411正式 / 412公示</x:v>
      </x:c>
      <x:c r="E10" s="14" t="str">
        <x:v>判断</x:v>
      </x:c>
      <x:c r="F10" s="14" t="str">
        <x:v>说明</x:v>
      </x:c>
      <x:c r="G10" t="str"/>
      <x:c r="H10" t="str"/>
      <x:c r="I10" t="str"/>
      <x:c r="J10" t="str"/>
      <x:c r="K10" t="str"/>
      <x:c r="L10" t="str"/>
    </x:row>
    <x:row r="11">
      <x:c r="A11" s="23" t="str">
        <x:v>纯电(BEV)</x:v>
      </x:c>
      <x:c r="B11" s="18" t="str">
        <x:v>47 / 606.4km / 73.8kWh</x:v>
      </x:c>
      <x:c r="C11" s="18" t="str">
        <x:v>411：23 / 593.5km / 72.4kWh；412：37 / 待正式公告</x:v>
      </x:c>
      <x:c r="E11" s="23" t="str">
        <x:v>结构判断</x:v>
      </x:c>
      <x:c r="F11" s="18" t="str">
        <x:v>412公示的纯电占比更高，但续航与电池容量要等正式购置税目录后才能定论。</x:v>
      </x:c>
    </x:row>
    <x:row r="12">
      <x:c r="A12" s="23" t="str">
        <x:v>插电混动(PHEV)</x:v>
      </x:c>
      <x:c r="B12" s="18" t="str">
        <x:v>16 / 224.9km / 43.4kWh</x:v>
      </x:c>
      <x:c r="C12" s="18" t="str">
        <x:v>411：21 / 248.5km / 55.5kWh；412：15 / 225.1km / 48.3kWh</x:v>
      </x:c>
      <x:c r="E12" s="23" t="str">
        <x:v>参数判断</x:v>
      </x:c>
      <x:c r="F12" s="18" t="str">
        <x:v>411正式公告的PHEV平均纯电续航和电池容量明显高于410基准，长续航插混仍在加码。</x:v>
      </x:c>
    </x:row>
    <x:row r="13">
      <x:c r="A13" s="23" t="str">
        <x:v>增程(EREV)</x:v>
      </x:c>
      <x:c r="B13" s="18" t="str">
        <x:v>7 / 255.1km / 54.5kWh</x:v>
      </x:c>
      <x:c r="C13" s="18" t="str">
        <x:v>411：3 / 239.0km / 50.1kWh；412：6 / 257.0km / 54.7kWh</x:v>
      </x:c>
      <x:c r="E13" s="23" t="str">
        <x:v>驱动判断</x:v>
      </x:c>
      <x:c r="F13" s="18" t="str">
        <x:v>412纯电样本平均电机功率约270.5kW，200kW及以上车型占有效功率样本的70.3%。</x:v>
      </x:c>
    </x:row>
    <x:row r="14">
      <x:c r="E14" s="23" t="str">
        <x:v>数据缺口</x:v>
      </x:c>
      <x:c r="F14" s="18" t="str">
        <x:v>412公示纯电车型尚未统一披露续航、容量和电池供应商，不能按0处理。</x:v>
      </x:c>
    </x:row>
    <x:row r="15">
      <x:c r="E15" s="23" t="str">
        <x:v>建议</x:v>
      </x:c>
      <x:c r="F15" s="18" t="str">
        <x:v>下一轮按正式公告附件更新412，并单独跟踪功率、双电机/多电机和电池包供应商。</x:v>
      </x:c>
    </x:row>
    <x:row r="17">
      <x:c r="A17" s="14" t="str">
        <x:v>技术路线</x:v>
      </x:c>
      <x:c r="B17" s="14" t="str">
        <x:v>410数量</x:v>
      </x:c>
      <x:c r="C17" s="14" t="str">
        <x:v>411数量</x:v>
      </x:c>
      <x:c r="D17" s="14" t="str">
        <x:v>412数量</x:v>
      </x:c>
      <x:c r="E17" s="14" t="str">
        <x:v>410续航</x:v>
      </x:c>
      <x:c r="F17" s="14" t="str">
        <x:v>411续航</x:v>
      </x:c>
      <x:c r="G17" s="14" t="str">
        <x:v>412续航</x:v>
      </x:c>
      <x:c r="H17" s="14" t="str">
        <x:v>410容量</x:v>
      </x:c>
      <x:c r="I17" s="14" t="str">
        <x:v>411容量</x:v>
      </x:c>
      <x:c r="J17" s="14" t="str">
        <x:v>412容量</x:v>
      </x:c>
    </x:row>
    <x:row r="18">
      <x:c r="A18" s="23" t="str">
        <x:v>纯电(BEV)</x:v>
      </x:c>
      <x:c r="B18" s="24" t="n">
        <x:v>47</x:v>
      </x:c>
      <x:c r="C18" s="24" t="n">
        <x:f>COUNTIF('411正式车型'!$C$4:$C$50,"纯电(BEV)")</x:f>
        <x:v>23</x:v>
      </x:c>
      <x:c r="D18" s="24" t="n">
        <x:f>COUNTIF('412公示车型'!$C$4:$C$61,"纯电(BEV)")</x:f>
        <x:v>37</x:v>
      </x:c>
      <x:c r="E18" s="27" t="n">
        <x:v>606.4</x:v>
      </x:c>
      <x:c r="F18" s="27" t="n">
        <x:f>IF(COUNTIFS('411正式车型'!$C$4:$C$50,"纯电(BEV)",'411正式车型'!$R$4:$R$50,"&gt;0")=0,"n.a.",SUMIFS('411正式车型'!$R$4:$R$50,'411正式车型'!$C$4:$C$50,"纯电(BEV)",'411正式车型'!$R$4:$R$50,"&gt;0")/COUNTIFS('411正式车型'!$C$4:$C$50,"纯电(BEV)",'411正式车型'!$R$4:$R$50,"&gt;0"))</x:f>
        <x:v>593.4761904761905</x:v>
      </x:c>
      <x:c r="G18" s="27" t="str">
        <x:f>IF(COUNTIFS('412公示车型'!$C$4:$C$61,"纯电(BEV)",'412公示车型'!$R$4:$R$61,"&gt;0")=0,"n.a.",SUMIFS('412公示车型'!$R$4:$R$61,'412公示车型'!$C$4:$C$61,"纯电(BEV)",'412公示车型'!$R$4:$R$61,"&gt;0")/COUNTIFS('412公示车型'!$C$4:$C$61,"纯电(BEV)",'412公示车型'!$R$4:$R$61,"&gt;0"))</x:f>
        <x:v>n.a.</x:v>
      </x:c>
      <x:c r="H18" s="27" t="n">
        <x:v>73.8</x:v>
      </x:c>
      <x:c r="I18" s="27" t="n">
        <x:f>IF(COUNTIFS('411正式车型'!$C$4:$C$50,"纯电(BEV)",'411正式车型'!$S$4:$S$50,"&gt;0")=0,"n.a.",SUMIFS('411正式车型'!$S$4:$S$50,'411正式车型'!$C$4:$C$50,"纯电(BEV)",'411正式车型'!$S$4:$S$50,"&gt;0")/COUNTIFS('411正式车型'!$C$4:$C$50,"纯电(BEV)",'411正式车型'!$S$4:$S$50,"&gt;0"))</x:f>
        <x:v>72.42833333333333</x:v>
      </x:c>
      <x:c r="J18" s="27" t="str">
        <x:f>IF(COUNTIFS('412公示车型'!$C$4:$C$61,"纯电(BEV)",'412公示车型'!$S$4:$S$61,"&gt;0")=0,"n.a.",SUMIFS('412公示车型'!$S$4:$S$61,'412公示车型'!$C$4:$C$61,"纯电(BEV)",'412公示车型'!$S$4:$S$61,"&gt;0")/COUNTIFS('412公示车型'!$C$4:$C$61,"纯电(BEV)",'412公示车型'!$S$4:$S$61,"&gt;0"))</x:f>
        <x:v>n.a.</x:v>
      </x:c>
    </x:row>
    <x:row r="19">
      <x:c r="A19" s="23" t="str">
        <x:v>插电混动(PHEV)</x:v>
      </x:c>
      <x:c r="B19" s="24" t="n">
        <x:v>16</x:v>
      </x:c>
      <x:c r="C19" s="24" t="n">
        <x:f>COUNTIF('411正式车型'!$C$4:$C$50,"插电混动(PHEV)")</x:f>
        <x:v>21</x:v>
      </x:c>
      <x:c r="D19" s="24" t="n">
        <x:f>COUNTIF('412公示车型'!$C$4:$C$61,"插电混动(PHEV)")</x:f>
        <x:v>15</x:v>
      </x:c>
      <x:c r="E19" s="27" t="n">
        <x:v>224.9</x:v>
      </x:c>
      <x:c r="F19" s="27" t="n">
        <x:f>IF(COUNTIFS('411正式车型'!$C$4:$C$50,"插电混动(PHEV)",'411正式车型'!$R$4:$R$50,"&gt;0")=0,"n.a.",SUMIFS('411正式车型'!$R$4:$R$50,'411正式车型'!$C$4:$C$50,"插电混动(PHEV)",'411正式车型'!$R$4:$R$50,"&gt;0")/COUNTIFS('411正式车型'!$C$4:$C$50,"插电混动(PHEV)",'411正式车型'!$R$4:$R$50,"&gt;0"))</x:f>
        <x:v>248.47368421052633</x:v>
      </x:c>
      <x:c r="G19" s="27" t="n">
        <x:f>IF(COUNTIFS('412公示车型'!$C$4:$C$61,"插电混动(PHEV)",'412公示车型'!$R$4:$R$61,"&gt;0")=0,"n.a.",SUMIFS('412公示车型'!$R$4:$R$61,'412公示车型'!$C$4:$C$61,"插电混动(PHEV)",'412公示车型'!$R$4:$R$61,"&gt;0")/COUNTIFS('412公示车型'!$C$4:$C$61,"插电混动(PHEV)",'412公示车型'!$R$4:$R$61,"&gt;0"))</x:f>
        <x:v>225.07692307692307</x:v>
      </x:c>
      <x:c r="H19" s="27" t="n">
        <x:v>43.4</x:v>
      </x:c>
      <x:c r="I19" s="27" t="n">
        <x:f>IF(COUNTIFS('411正式车型'!$C$4:$C$50,"插电混动(PHEV)",'411正式车型'!$S$4:$S$50,"&gt;0")=0,"n.a.",SUMIFS('411正式车型'!$S$4:$S$50,'411正式车型'!$C$4:$C$50,"插电混动(PHEV)",'411正式车型'!$S$4:$S$50,"&gt;0")/COUNTIFS('411正式车型'!$C$4:$C$50,"插电混动(PHEV)",'411正式车型'!$S$4:$S$50,"&gt;0"))</x:f>
        <x:v>55.47052631578946</x:v>
      </x:c>
      <x:c r="J19" s="27" t="n">
        <x:f>IF(COUNTIFS('412公示车型'!$C$4:$C$61,"插电混动(PHEV)",'412公示车型'!$S$4:$S$61,"&gt;0")=0,"n.a.",SUMIFS('412公示车型'!$S$4:$S$61,'412公示车型'!$C$4:$C$61,"插电混动(PHEV)",'412公示车型'!$S$4:$S$61,"&gt;0")/COUNTIFS('412公示车型'!$C$4:$C$61,"插电混动(PHEV)",'412公示车型'!$S$4:$S$61,"&gt;0"))</x:f>
        <x:v>48.33815384615385</x:v>
      </x:c>
    </x:row>
    <x:row r="20">
      <x:c r="A20" s="23" t="str">
        <x:v>增程(EREV)</x:v>
      </x:c>
      <x:c r="B20" s="24" t="n">
        <x:v>7</x:v>
      </x:c>
      <x:c r="C20" s="24" t="n">
        <x:f>COUNTIF('411正式车型'!$C$4:$C$50,"增程(EREV)")</x:f>
        <x:v>3</x:v>
      </x:c>
      <x:c r="D20" s="24" t="n">
        <x:f>COUNTIF('412公示车型'!$C$4:$C$61,"增程(EREV)")</x:f>
        <x:v>6</x:v>
      </x:c>
      <x:c r="E20" s="27" t="n">
        <x:v>255.1</x:v>
      </x:c>
      <x:c r="F20" s="27" t="n">
        <x:f>IF(COUNTIFS('411正式车型'!$C$4:$C$50,"增程(EREV)",'411正式车型'!$R$4:$R$50,"&gt;0")=0,"n.a.",SUMIFS('411正式车型'!$R$4:$R$50,'411正式车型'!$C$4:$C$50,"增程(EREV)",'411正式车型'!$R$4:$R$50,"&gt;0")/COUNTIFS('411正式车型'!$C$4:$C$50,"增程(EREV)",'411正式车型'!$R$4:$R$50,"&gt;0"))</x:f>
        <x:v>239</x:v>
      </x:c>
      <x:c r="G20" s="27" t="n">
        <x:f>IF(COUNTIFS('412公示车型'!$C$4:$C$61,"增程(EREV)",'412公示车型'!$R$4:$R$61,"&gt;0")=0,"n.a.",SUMIFS('412公示车型'!$R$4:$R$61,'412公示车型'!$C$4:$C$61,"增程(EREV)",'412公示车型'!$R$4:$R$61,"&gt;0")/COUNTIFS('412公示车型'!$C$4:$C$61,"增程(EREV)",'412公示车型'!$R$4:$R$61,"&gt;0"))</x:f>
        <x:v>257</x:v>
      </x:c>
      <x:c r="H20" s="27" t="n">
        <x:v>54.5</x:v>
      </x:c>
      <x:c r="I20" s="27" t="n">
        <x:f>IF(COUNTIFS('411正式车型'!$C$4:$C$50,"增程(EREV)",'411正式车型'!$S$4:$S$50,"&gt;0")=0,"n.a.",SUMIFS('411正式车型'!$S$4:$S$50,'411正式车型'!$C$4:$C$50,"增程(EREV)",'411正式车型'!$S$4:$S$50,"&gt;0")/COUNTIFS('411正式车型'!$C$4:$C$50,"增程(EREV)",'411正式车型'!$S$4:$S$50,"&gt;0"))</x:f>
        <x:v>50.092999999999996</x:v>
      </x:c>
      <x:c r="J20" s="27" t="n">
        <x:f>IF(COUNTIFS('412公示车型'!$C$4:$C$61,"增程(EREV)",'412公示车型'!$S$4:$S$61,"&gt;0")=0,"n.a.",SUMIFS('412公示车型'!$S$4:$S$61,'412公示车型'!$C$4:$C$61,"增程(EREV)",'412公示车型'!$S$4:$S$61,"&gt;0")/COUNTIFS('412公示车型'!$C$4:$C$61,"增程(EREV)",'412公示车型'!$S$4:$S$61,"&gt;0"))</x:f>
        <x:v>54.693999999999996</x:v>
      </x:c>
    </x:row>
    <x:row r="22">
      <x:c r="A22" s="28" t="str">
        <x:v>备注：410为权威底表基准；411为正式公告附件与官方车型公示详情；412为公示候选数据。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9" hidden="0" customWidth="1"/>
    <x:col min="4" max="4" width="13" hidden="0" customWidth="1"/>
    <x:col min="5" max="5" width="16" hidden="0" customWidth="1"/>
    <x:col min="6" max="6" width="15" hidden="0" customWidth="1"/>
    <x:col min="7" max="7" width="15" hidden="0" customWidth="1"/>
    <x:col min="8" max="8" width="13" hidden="0" customWidth="1"/>
    <x:col min="9" max="9" width="14" hidden="0" customWidth="1"/>
    <x:col min="10" max="10" width="16" hidden="0" customWidth="1"/>
    <x:col min="11" max="11" width="14" hidden="0" customWidth="1"/>
    <x:col min="12" max="12" width="16" hidden="0" customWidth="1"/>
  </x:cols>
  <x:sheetData>
    <x:row r="2">
      <x:c r="A2" s="1" t="str">
        <x:v>批次驱动系统对比</x:v>
      </x:c>
    </x:row>
    <x:row r="3">
      <x:c r="A3" s="13" t="str">
        <x:v>批次</x:v>
      </x:c>
      <x:c r="B3" s="13" t="str">
        <x:v>技术路线</x:v>
      </x:c>
      <x:c r="C3" s="13" t="str">
        <x:v>数量</x:v>
      </x:c>
      <x:c r="D3" s="13" t="str">
        <x:v>功率有效样本</x:v>
      </x:c>
      <x:c r="E3" s="13" t="str">
        <x:v>平均电机功率(kW)</x:v>
      </x:c>
      <x:c r="F3" s="13" t="str">
        <x:v>200kW及以上占比</x:v>
      </x:c>
      <x:c r="G3" s="13" t="str">
        <x:v>多电机有效样本</x:v>
      </x:c>
      <x:c r="H3" s="13" t="str">
        <x:v>多电机占比</x:v>
      </x:c>
      <x:c r="I3" s="13" t="str">
        <x:v>平均续航(km)</x:v>
      </x:c>
      <x:c r="J3" s="13" t="str">
        <x:v>平均电池容量(kWh)</x:v>
      </x:c>
      <x:c r="K3" s="13" t="str">
        <x:v>平均车长(mm)</x:v>
      </x:c>
      <x:c r="L3" s="13" t="str">
        <x:v>平均整备质量(kg)</x:v>
      </x:c>
      <x:c r="M3" s="2"/>
    </x:row>
    <x:row r="4">
      <x:c r="A4" s="22" t="n">
        <x:v>410</x:v>
      </x:c>
      <x:c r="B4" s="23" t="str">
        <x:v>纯电(BEV)</x:v>
      </x:c>
      <x:c r="C4" s="24" t="n">
        <x:v>47</x:v>
      </x:c>
      <x:c r="D4" s="24"/>
      <x:c r="E4" s="26" t="n">
        <x:v>189.8</x:v>
      </x:c>
      <x:c r="F4" s="30"/>
      <x:c r="G4" s="24"/>
      <x:c r="H4" s="30"/>
      <x:c r="I4" s="26" t="n">
        <x:v>606.4</x:v>
      </x:c>
      <x:c r="J4" s="26" t="n">
        <x:v>73.8</x:v>
      </x:c>
      <x:c r="K4" s="26" t="n">
        <x:v>4853.8</x:v>
      </x:c>
      <x:c r="L4" s="26" t="n">
        <x:v>2053.7</x:v>
      </x:c>
    </x:row>
    <x:row r="5">
      <x:c r="A5" s="22" t="n">
        <x:v>410</x:v>
      </x:c>
      <x:c r="B5" s="23" t="str">
        <x:v>插电混动(PHEV)</x:v>
      </x:c>
      <x:c r="C5" s="24" t="n">
        <x:v>16</x:v>
      </x:c>
      <x:c r="D5" s="24"/>
      <x:c r="E5" s="26" t="n">
        <x:v>179.7</x:v>
      </x:c>
      <x:c r="F5" s="30"/>
      <x:c r="G5" s="24"/>
      <x:c r="H5" s="30"/>
      <x:c r="I5" s="26" t="n">
        <x:v>224.9</x:v>
      </x:c>
      <x:c r="J5" s="26" t="n">
        <x:v>43.4</x:v>
      </x:c>
      <x:c r="K5" s="26" t="n">
        <x:v>4918.2</x:v>
      </x:c>
      <x:c r="L5" s="26" t="n">
        <x:v>2187.8</x:v>
      </x:c>
    </x:row>
    <x:row r="6">
      <x:c r="A6" s="22" t="n">
        <x:v>410</x:v>
      </x:c>
      <x:c r="B6" s="23" t="str">
        <x:v>增程(EREV)</x:v>
      </x:c>
      <x:c r="C6" s="24" t="n">
        <x:v>7</x:v>
      </x:c>
      <x:c r="D6" s="24"/>
      <x:c r="E6" s="26" t="n">
        <x:v>214.7</x:v>
      </x:c>
      <x:c r="F6" s="30"/>
      <x:c r="G6" s="24"/>
      <x:c r="H6" s="30"/>
      <x:c r="I6" s="26" t="n">
        <x:v>255.1</x:v>
      </x:c>
      <x:c r="J6" s="26" t="n">
        <x:v>54.5</x:v>
      </x:c>
      <x:c r="K6" s="26" t="n">
        <x:v>5090.2</x:v>
      </x:c>
      <x:c r="L6" s="26" t="n">
        <x:v>2497.9</x:v>
      </x:c>
    </x:row>
    <x:row r="7">
      <x:c r="A7" s="22" t="n">
        <x:v>411</x:v>
      </x:c>
      <x:c r="B7" s="23" t="str">
        <x:v>纯电(BEV)</x:v>
      </x:c>
      <x:c r="C7" s="24" t="n">
        <x:v>23</x:v>
      </x:c>
      <x:c r="D7" s="24" t="n">
        <x:v>23</x:v>
      </x:c>
      <x:c r="E7" s="26" t="n">
        <x:v>258.1</x:v>
      </x:c>
      <x:c r="F7" s="30" t="n">
        <x:v>0.609</x:v>
      </x:c>
      <x:c r="G7" s="24" t="n">
        <x:v>23</x:v>
      </x:c>
      <x:c r="H7" s="30" t="n">
        <x:v>0.391</x:v>
      </x:c>
      <x:c r="I7" s="26" t="n">
        <x:v>593.5</x:v>
      </x:c>
      <x:c r="J7" s="26" t="n">
        <x:v>72.4</x:v>
      </x:c>
      <x:c r="K7" s="26" t="n">
        <x:v>4810</x:v>
      </x:c>
      <x:c r="L7" s="26" t="n">
        <x:v>2020.2</x:v>
      </x:c>
    </x:row>
    <x:row r="8">
      <x:c r="A8" s="22" t="n">
        <x:v>411</x:v>
      </x:c>
      <x:c r="B8" s="23" t="str">
        <x:v>插电混动(PHEV)</x:v>
      </x:c>
      <x:c r="C8" s="24" t="n">
        <x:v>21</x:v>
      </x:c>
      <x:c r="D8" s="24" t="n">
        <x:v>6</x:v>
      </x:c>
      <x:c r="E8" s="26" t="n">
        <x:v>388.3</x:v>
      </x:c>
      <x:c r="F8" s="30" t="n">
        <x:v>1</x:v>
      </x:c>
      <x:c r="G8" s="24" t="n">
        <x:v>6</x:v>
      </x:c>
      <x:c r="H8" s="30" t="n">
        <x:v>0.5</x:v>
      </x:c>
      <x:c r="I8" s="26" t="n">
        <x:v>248.5</x:v>
      </x:c>
      <x:c r="J8" s="26" t="n">
        <x:v>55.5</x:v>
      </x:c>
      <x:c r="K8" s="26" t="n">
        <x:v>5163.7</x:v>
      </x:c>
      <x:c r="L8" s="26" t="n">
        <x:v>2688.8</x:v>
      </x:c>
    </x:row>
    <x:row r="9">
      <x:c r="A9" s="22" t="n">
        <x:v>411</x:v>
      </x:c>
      <x:c r="B9" s="23" t="str">
        <x:v>增程(EREV)</x:v>
      </x:c>
      <x:c r="C9" s="24" t="n">
        <x:v>3</x:v>
      </x:c>
      <x:c r="D9" s="24" t="n">
        <x:v>0</x:v>
      </x:c>
      <x:c r="E9" s="26"/>
      <x:c r="F9" s="30"/>
      <x:c r="G9" s="24" t="n">
        <x:v>0</x:v>
      </x:c>
      <x:c r="H9" s="30"/>
      <x:c r="I9" s="26" t="n">
        <x:v>239</x:v>
      </x:c>
      <x:c r="J9" s="26" t="n">
        <x:v>50.1</x:v>
      </x:c>
      <x:c r="K9" s="26" t="n">
        <x:v>4945.5</x:v>
      </x:c>
      <x:c r="L9" s="26" t="n">
        <x:v>2328.7</x:v>
      </x:c>
    </x:row>
    <x:row r="10">
      <x:c r="A10" s="22" t="n">
        <x:v>412</x:v>
      </x:c>
      <x:c r="B10" s="23" t="str">
        <x:v>纯电(BEV)</x:v>
      </x:c>
      <x:c r="C10" s="24" t="n">
        <x:v>37</x:v>
      </x:c>
      <x:c r="D10" s="24" t="n">
        <x:v>37</x:v>
      </x:c>
      <x:c r="E10" s="26" t="n">
        <x:v>270.5</x:v>
      </x:c>
      <x:c r="F10" s="30" t="n">
        <x:v>0.703</x:v>
      </x:c>
      <x:c r="G10" s="24" t="n">
        <x:v>37</x:v>
      </x:c>
      <x:c r="H10" s="30" t="n">
        <x:v>0.216</x:v>
      </x:c>
      <x:c r="I10" s="26"/>
      <x:c r="J10" s="26"/>
      <x:c r="K10" s="26" t="n">
        <x:v>4986.5</x:v>
      </x:c>
      <x:c r="L10" s="26" t="n">
        <x:v>2189.1</x:v>
      </x:c>
    </x:row>
    <x:row r="11">
      <x:c r="A11" s="22" t="n">
        <x:v>412</x:v>
      </x:c>
      <x:c r="B11" s="23" t="str">
        <x:v>插电混动(PHEV)</x:v>
      </x:c>
      <x:c r="C11" s="24" t="n">
        <x:v>15</x:v>
      </x:c>
      <x:c r="D11" s="24" t="n">
        <x:v>7</x:v>
      </x:c>
      <x:c r="E11" s="26" t="n">
        <x:v>223.9</x:v>
      </x:c>
      <x:c r="F11" s="30" t="n">
        <x:v>0.571</x:v>
      </x:c>
      <x:c r="G11" s="24" t="n">
        <x:v>7</x:v>
      </x:c>
      <x:c r="H11" s="30" t="n">
        <x:v>0.286</x:v>
      </x:c>
      <x:c r="I11" s="26" t="n">
        <x:v>225.1</x:v>
      </x:c>
      <x:c r="J11" s="26" t="n">
        <x:v>48.3</x:v>
      </x:c>
      <x:c r="K11" s="26" t="n">
        <x:v>5146</x:v>
      </x:c>
      <x:c r="L11" s="26" t="n">
        <x:v>2511.4</x:v>
      </x:c>
    </x:row>
    <x:row r="12">
      <x:c r="A12" s="22" t="n">
        <x:v>412</x:v>
      </x:c>
      <x:c r="B12" s="23" t="str">
        <x:v>增程(EREV)</x:v>
      </x:c>
      <x:c r="C12" s="24" t="n">
        <x:v>6</x:v>
      </x:c>
      <x:c r="D12" s="24" t="n">
        <x:v>6</x:v>
      </x:c>
      <x:c r="E12" s="26" t="n">
        <x:v>264.3</x:v>
      </x:c>
      <x:c r="F12" s="30" t="n">
        <x:v>1</x:v>
      </x:c>
      <x:c r="G12" s="24" t="n">
        <x:v>6</x:v>
      </x:c>
      <x:c r="H12" s="30" t="n">
        <x:v>0.333</x:v>
      </x:c>
      <x:c r="I12" s="26" t="n">
        <x:v>257</x:v>
      </x:c>
      <x:c r="J12" s="26" t="n">
        <x:v>54.7</x:v>
      </x:c>
      <x:c r="K12" s="26" t="n">
        <x:v>5021.7</x:v>
      </x:c>
      <x:c r="L12" s="26" t="n">
        <x:v>2300.8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6A6A6"/>
  </x:sheetPr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42" hidden="0" customWidth="1"/>
    <x:col min="4" max="4" width="24" hidden="0" customWidth="1"/>
    <x:col min="5" max="5" width="30" hidden="0" customWidth="1"/>
  </x:cols>
  <x:sheetData>
    <x:row r="2">
      <x:c r="A2" s="1" t="str">
        <x:v>证据与口径</x:v>
      </x:c>
    </x:row>
    <x:row r="3">
      <x:c r="A3" s="13" t="str">
        <x:v>项目</x:v>
      </x:c>
      <x:c r="B3" s="13" t="str">
        <x:v>内容</x:v>
      </x:c>
      <x:c r="C3" s="13" t="str">
        <x:v>数值/说明</x:v>
      </x:c>
      <x:c r="D3" s="13" t="str">
        <x:v>来源</x:v>
      </x:c>
      <x:c r="E3" s="13" t="str">
        <x:v>备注</x:v>
      </x:c>
      <x:c r="F3" s="2"/>
    </x:row>
    <x:row r="4">
      <x:c r="A4" s="23" t="str">
        <x:v>411状态</x:v>
      </x:c>
      <x:c r="B4" s="18" t="str">
        <x:v>正式公告</x:v>
      </x:c>
      <x:c r="C4" s="18" t="str">
        <x:v>2026-10-16发布，公告成文日期2026-10-15</x:v>
      </x:c>
      <x:c r="D4" s="18" t="str">
        <x:v>工业和信息化部</x:v>
      </x:c>
      <x:c r="E4" s="18" t="str">
        <x:v>正式公告</x:v>
      </x:c>
    </x:row>
    <x:row r="5">
      <x:c r="A5" s="23" t="str">
        <x:v>412状态</x:v>
      </x:c>
      <x:c r="B5" s="18" t="str">
        <x:v>公示</x:v>
      </x:c>
      <x:c r="C5" s="18" t="str">
        <x:v>2026-10-17至2026-10-23</x:v>
      </x:c>
      <x:c r="D5" s="18" t="str">
        <x:v>工业和信息化部装备工业一司</x:v>
      </x:c>
      <x:c r="E5" s="18" t="str">
        <x:v>等待正式公告</x:v>
      </x:c>
    </x:row>
    <x:row r="6">
      <x:c r="A6" s="23" t="str">
        <x:v>411总产品申报</x:v>
      </x:c>
      <x:c r="B6" s="18" t="str">
        <x:v>1019个新产品申报；其中新能源288个型号</x:v>
      </x:c>
      <x:c r="C6" s="18" t="str">
        <x:v>汽车产品607个、摩托车412个</x:v>
      </x:c>
      <x:c r="D6" s="18" t="str">
        <x:v>第411批公示通知</x:v>
      </x:c>
      <x:c r="E6" s="18" t="str">
        <x:v>本表仅取乘用车</x:v>
      </x:c>
    </x:row>
    <x:row r="7">
      <x:c r="A7" s="23" t="str">
        <x:v>412总产品申报</x:v>
      </x:c>
      <x:c r="B7" s="18" t="str">
        <x:v>1074个新产品申报；新能源349个型号</x:v>
      </x:c>
      <x:c r="C7" s="18" t="str">
        <x:v>汽车产品687个、摩托车387个</x:v>
      </x:c>
      <x:c r="D7" s="18" t="str">
        <x:v>第412批公示通知</x:v>
      </x:c>
      <x:c r="E7" s="18" t="str">
        <x:v>本表识别58个NEV乘用车型号</x:v>
      </x:c>
    </x:row>
    <x:row r="8">
      <x:c r="A8" s="23" t="str">
        <x:v>411乘用车扫描</x:v>
      </x:c>
      <x:c r="B8" s="18" t="str">
        <x:v>47个NEV乘用车型号</x:v>
      </x:c>
      <x:c r="C8" s="18" t="str">
        <x:v>纯电23、插混21、增程3</x:v>
      </x:c>
      <x:c r="D8" s="18" t="str">
        <x:v>411正式公告附件+官方详情页</x:v>
      </x:c>
      <x:c r="E8" s="18" t="str">
        <x:v>型号级口径</x:v>
      </x:c>
    </x:row>
    <x:row r="9">
      <x:c r="A9" s="23" t="str">
        <x:v>412乘用车扫描</x:v>
      </x:c>
      <x:c r="B9" s="18" t="str">
        <x:v>58个NEV乘用车型号</x:v>
      </x:c>
      <x:c r="C9" s="18" t="str">
        <x:v>纯电37、插混15、增程6</x:v>
      </x:c>
      <x:c r="D9" s="18" t="str">
        <x:v>412公示清单+官方详情页</x:v>
      </x:c>
      <x:c r="E9" s="18" t="str">
        <x:v>公示候选口径</x:v>
      </x:c>
    </x:row>
    <x:row r="10">
      <x:c r="A10" s="23" t="str">
        <x:v>412续航/容量</x:v>
      </x:c>
      <x:c r="B10" s="18" t="str">
        <x:v>未统一披露</x:v>
      </x:c>
      <x:c r="C10" s="18" t="str">
        <x:v>正式购置税目录发布后补齐</x:v>
      </x:c>
      <x:c r="D10" s="18" t="str">
        <x:v>工信部</x:v>
      </x:c>
      <x:c r="E10" s="18" t="str">
        <x:v>空白不等于0</x:v>
      </x:c>
    </x:row>
    <x:row r="11">
      <x:c r="A11" s="23" t="str">
        <x:v>电机功率覆盖</x:v>
      </x:c>
      <x:c r="B11" s="18" t="str">
        <x:v>411：28/47；412：50/58</x:v>
      </x:c>
      <x:c r="C11" s="18" t="str">
        <x:v>无公开功率字段的车型保留空白</x:v>
      </x:c>
      <x:c r="D11" s="18" t="str">
        <x:v>官方详情页</x:v>
      </x:c>
      <x:c r="E11" s="18" t="str">
        <x:v>均值只按有值样本</x:v>
      </x:c>
    </x:row>
    <x:row r="13">
      <x:c r="A13" s="31" t="str">
        <x:v>字段口径</x:v>
      </x:c>
      <x:c r="B13" s="31"/>
      <x:c r="C13" s="31"/>
      <x:c r="D13" s="31"/>
      <x:c r="E13" s="31"/>
    </x:row>
    <x:row r="14">
      <x:c r="A14" s="23" t="str">
        <x:v>技术路线</x:v>
      </x:c>
      <x:c r="B14" s="18" t="str">
        <x:v>纯电(BEV)、插电混动(PHEV)、增程(EREV)分别统计</x:v>
      </x:c>
      <x:c r="C14" s="18" t="str">
        <x:v>EREV按名称或型号中的增程/REEV识别</x:v>
      </x:c>
      <x:c r="D14" s="18" t="str">
        <x:v>本表口径</x:v>
      </x:c>
      <x:c r="E14" s="18" t="str">
        <x:v>避免把PHEV和EREV混为一组</x:v>
      </x:c>
    </x:row>
    <x:row r="15">
      <x:c r="A15" s="23" t="str">
        <x:v>车长/轴距/整备</x:v>
      </x:c>
      <x:c r="B15" s="18" t="str">
        <x:v>取公告详情页首个或主值</x:v>
      </x:c>
      <x:c r="C15" s="18" t="str">
        <x:v>多配置车型保留原始配置文本</x:v>
      </x:c>
      <x:c r="D15" s="18" t="str">
        <x:v>公告详情页</x:v>
      </x:c>
      <x:c r="E15" s="18" t="str">
        <x:v>均值只用于批次趋势</x:v>
      </x:c>
    </x:row>
    <x:row r="16">
      <x:c r="A16" s="23" t="str">
        <x:v>功率</x:v>
      </x:c>
      <x:c r="B16" s="18" t="str">
        <x:v>电机总功率按公开的电机峰值功率序列求和</x:v>
      </x:c>
      <x:c r="C16" s="18" t="str">
        <x:v>若只披露额定功率则仅保留原字段</x:v>
      </x:c>
      <x:c r="D16" s="18" t="str">
        <x:v>公告详情页</x:v>
      </x:c>
      <x:c r="E16" s="18" t="str">
        <x:v>不按媒体参数补写</x:v>
      </x:c>
    </x:row>
    <x:row r="17">
      <x:c r="A17" s="23" t="str">
        <x:v>电池</x:v>
      </x:c>
      <x:c r="B17" s="18" t="str">
        <x:v>容量优先取正式公告附件；类型和供应商取公示详情页</x:v>
      </x:c>
      <x:c r="C17" s="18" t="str">
        <x:v>412纯电容量待正式公告补齐</x:v>
      </x:c>
      <x:c r="D17" s="18" t="str">
        <x:v>公告附件/详情页</x:v>
      </x:c>
      <x:c r="E17" s="18" t="str">
        <x:v>优先公示原文</x:v>
      </x:c>
    </x:row>
    <x:row r="18">
      <x:c r="A18" s="23" t="str">
        <x:v>批次新增</x:v>
      </x:c>
      <x:c r="B18" s="18" t="str">
        <x:v>按产品型号与341~410权威底表比对</x:v>
      </x:c>
      <x:c r="C18" s="18" t="str">
        <x:v>型号未出现标记为型号级新增</x:v>
      </x:c>
      <x:c r="D18" s="18" t="str">
        <x:v>341~410底表</x:v>
      </x:c>
      <x:c r="E18" s="18" t="str">
        <x:v>不等同于全新车系</x:v>
      </x:c>
    </x:row>
    <x:row r="19">
      <x:c r="A19" s="23" t="str">
        <x:v>缺失值</x:v>
      </x:c>
      <x:c r="B19" s="18" t="str">
        <x:v>n.a.或空白表示未披露或不可得</x:v>
      </x:c>
      <x:c r="C19" s="18" t="str">
        <x:v>不得将缺失值当0参与均值</x:v>
      </x:c>
      <x:c r="D19" s="18" t="str">
        <x:v>本表口径</x:v>
      </x:c>
      <x:c r="E19" s="18" t="str">
        <x:v>报告与底表一致</x:v>
      </x:c>
    </x:row>
    <x:row r="20">
      <x:c r="A20" s="23" t="str">
        <x:v>更新要求</x:v>
      </x:c>
      <x:c r="B20" s="18" t="str">
        <x:v>正式公告发布后替换412公示数据</x:v>
      </x:c>
      <x:c r="C20" s="18" t="str">
        <x:v>同步更新报告、驱动对比和看板</x:v>
      </x:c>
      <x:c r="D20" s="18" t="str">
        <x:v>项目流程</x:v>
      </x:c>
      <x:c r="E20" s="18" t="str">
        <x:v>正式公告优先</x:v>
      </x:c>
    </x:row>
  </x:sheetData>
  <x:pageMargins left="0.7" right="0.7" top="0.75" bottom="0.75" header="0.3" footer="0.3"/>
</x:worksheet>
</file>